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pucpredu-my.sharepoint.com/personal/r_kersten_pucpr_br/Documents/Documents/Aulas/Inventario/Excel/"/>
    </mc:Choice>
  </mc:AlternateContent>
  <xr:revisionPtr revIDLastSave="2" documentId="8_{6A8EA79C-0CA2-47BB-93F0-8729A9F1E95E}" xr6:coauthVersionLast="47" xr6:coauthVersionMax="47" xr10:uidLastSave="{D78AEAD7-CB90-45D4-B376-9DC3B5EEB212}"/>
  <workbookProtection workbookAlgorithmName="SHA-512" workbookHashValue="Htagkf4UR0eWp79GMi5OZ3HDDc5+Gt9wxdh0XLXRrHyuvGLodyiAlFAXfzFAUd5X9Q/6koS7tJOjeG+5sJU2nw==" workbookSaltValue="G5adGnz7EYZW6pxPTAF6Og==" workbookSpinCount="100000" lockStructure="1"/>
  <bookViews>
    <workbookView xWindow="-108" yWindow="-108" windowWidth="23256" windowHeight="13896" xr2:uid="{3828D39A-4F3E-440E-BFA8-6BD1C0DE59D9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S21" i="1" l="1"/>
  <c r="S23" i="1" s="1"/>
  <c r="M11" i="1" s="1"/>
  <c r="J23" i="1"/>
  <c r="K23" i="1"/>
  <c r="J24" i="1"/>
  <c r="K24" i="1"/>
  <c r="J25" i="1"/>
  <c r="K25" i="1"/>
  <c r="J26" i="1"/>
  <c r="K26" i="1"/>
  <c r="J27" i="1"/>
  <c r="K27" i="1"/>
  <c r="J28" i="1"/>
  <c r="K28" i="1"/>
  <c r="J29" i="1"/>
  <c r="K29" i="1"/>
  <c r="J30" i="1"/>
  <c r="K30" i="1"/>
  <c r="J31" i="1"/>
  <c r="K31" i="1"/>
  <c r="J32" i="1"/>
  <c r="K32" i="1"/>
  <c r="J33" i="1"/>
  <c r="K33" i="1"/>
  <c r="J34" i="1"/>
  <c r="K34" i="1"/>
  <c r="J35" i="1"/>
  <c r="K35" i="1"/>
  <c r="J36" i="1"/>
  <c r="K36" i="1"/>
  <c r="J37" i="1"/>
  <c r="K37" i="1"/>
  <c r="J38" i="1"/>
  <c r="K38" i="1"/>
  <c r="J39" i="1"/>
  <c r="K39" i="1"/>
  <c r="J40" i="1"/>
  <c r="K40" i="1"/>
  <c r="J41" i="1"/>
  <c r="K41" i="1"/>
  <c r="J42" i="1"/>
  <c r="K42" i="1"/>
  <c r="J43" i="1"/>
  <c r="K43" i="1"/>
  <c r="J44" i="1"/>
  <c r="K44" i="1"/>
  <c r="J45" i="1"/>
  <c r="K45" i="1"/>
  <c r="J46" i="1"/>
  <c r="K46" i="1"/>
  <c r="J47" i="1"/>
  <c r="K47" i="1"/>
  <c r="J48" i="1"/>
  <c r="K48" i="1"/>
  <c r="J49" i="1"/>
  <c r="K49" i="1"/>
  <c r="J50" i="1"/>
  <c r="K50" i="1"/>
  <c r="J51" i="1"/>
  <c r="K51" i="1"/>
  <c r="J52" i="1"/>
  <c r="K52" i="1"/>
  <c r="J53" i="1"/>
  <c r="K53" i="1"/>
  <c r="M17" i="1"/>
  <c r="K21" i="1"/>
  <c r="K22" i="1"/>
  <c r="J21" i="1"/>
  <c r="J22" i="1"/>
  <c r="M8" i="1"/>
  <c r="N35" i="1"/>
  <c r="N34" i="1"/>
  <c r="N33" i="1"/>
  <c r="N32" i="1"/>
  <c r="N29" i="1"/>
  <c r="N28" i="1"/>
  <c r="N27" i="1"/>
  <c r="N26" i="1"/>
  <c r="S13" i="1"/>
  <c r="K20" i="1"/>
  <c r="K4" i="1"/>
  <c r="K17" i="1"/>
  <c r="K12" i="1"/>
  <c r="K15" i="1"/>
  <c r="K9" i="1"/>
  <c r="K19" i="1"/>
  <c r="K8" i="1"/>
  <c r="K6" i="1"/>
  <c r="K10" i="1"/>
  <c r="K16" i="1"/>
  <c r="K11" i="1"/>
  <c r="K3" i="1"/>
  <c r="K18" i="1"/>
  <c r="K14" i="1"/>
  <c r="K5" i="1"/>
  <c r="K13" i="1"/>
  <c r="J20" i="1"/>
  <c r="J4" i="1"/>
  <c r="J17" i="1"/>
  <c r="J12" i="1"/>
  <c r="J15" i="1"/>
  <c r="J9" i="1"/>
  <c r="J19" i="1"/>
  <c r="J8" i="1"/>
  <c r="J6" i="1"/>
  <c r="J10" i="1"/>
  <c r="J16" i="1"/>
  <c r="J11" i="1"/>
  <c r="J3" i="1"/>
  <c r="J18" i="1"/>
  <c r="J14" i="1"/>
  <c r="J5" i="1"/>
  <c r="J13" i="1"/>
  <c r="J7" i="1"/>
  <c r="K7" i="1"/>
  <c r="M5" i="1" l="1"/>
  <c r="M20" i="1"/>
  <c r="M23" i="1"/>
  <c r="S5" i="1"/>
  <c r="S7" i="1" s="1"/>
  <c r="M14" i="1" l="1"/>
</calcChain>
</file>

<file path=xl/sharedStrings.xml><?xml version="1.0" encoding="utf-8"?>
<sst xmlns="http://schemas.openxmlformats.org/spreadsheetml/2006/main" count="86" uniqueCount="63">
  <si>
    <t>PAP</t>
  </si>
  <si>
    <t>Altura</t>
  </si>
  <si>
    <t>Trep.</t>
  </si>
  <si>
    <t>Posi.</t>
  </si>
  <si>
    <t>Morta</t>
  </si>
  <si>
    <t>AB</t>
  </si>
  <si>
    <t>AU</t>
  </si>
  <si>
    <t>RA</t>
  </si>
  <si>
    <t>N</t>
  </si>
  <si>
    <t>Inferior</t>
  </si>
  <si>
    <t>Superior</t>
  </si>
  <si>
    <t>n</t>
  </si>
  <si>
    <t>Numerar sequencialmente</t>
  </si>
  <si>
    <t>Indivíduo</t>
  </si>
  <si>
    <t>Perímetro</t>
  </si>
  <si>
    <t>Alt</t>
  </si>
  <si>
    <t>Estimado em campo</t>
  </si>
  <si>
    <t>Epífitas Vasculares</t>
  </si>
  <si>
    <t>EV</t>
  </si>
  <si>
    <t>EA</t>
  </si>
  <si>
    <t>Epífita Avascular (briófitas)</t>
  </si>
  <si>
    <t>AU = Ausente</t>
  </si>
  <si>
    <t>RA = Rara</t>
  </si>
  <si>
    <t>FR = Frequente</t>
  </si>
  <si>
    <t>AB = Abundante</t>
  </si>
  <si>
    <t>Trepadeiras</t>
  </si>
  <si>
    <t>Sim/Não</t>
  </si>
  <si>
    <t>Posição</t>
  </si>
  <si>
    <t>Mortas</t>
  </si>
  <si>
    <t>Superior (formadoras do dossel)</t>
  </si>
  <si>
    <t>Emergente (sobressaindo ao dossel)</t>
  </si>
  <si>
    <t>DAP</t>
  </si>
  <si>
    <t>Diâmetro</t>
  </si>
  <si>
    <t>Calculado do PAP</t>
  </si>
  <si>
    <t>Área basal</t>
  </si>
  <si>
    <t>J2 = C2/PI()</t>
  </si>
  <si>
    <t>K2 = C2^2/(4*pi())</t>
  </si>
  <si>
    <t>AB Total (cm2)</t>
  </si>
  <si>
    <t>AB Total (m2)</t>
  </si>
  <si>
    <t>Área avaliada (m2)</t>
  </si>
  <si>
    <t>AB/Ha (m2/ha)</t>
  </si>
  <si>
    <t>Número de Mortas</t>
  </si>
  <si>
    <t>Número de Indivíduos</t>
  </si>
  <si>
    <t>Raras</t>
  </si>
  <si>
    <t>Ausentes</t>
  </si>
  <si>
    <t>Frequentes</t>
  </si>
  <si>
    <t>Abundantes</t>
  </si>
  <si>
    <t>Epifitas Vasculares</t>
  </si>
  <si>
    <t>Legenda</t>
  </si>
  <si>
    <t>Sub-bosque (arbustos e arboretas de até 5m)</t>
  </si>
  <si>
    <t>Inferior (árvores &gt; 5m e sob outra árvores</t>
  </si>
  <si>
    <t>Densidade  (ind/ha)</t>
  </si>
  <si>
    <t>Cálculo de parâmetros auxiliares a classificação de Estágios Sucessionais</t>
  </si>
  <si>
    <t xml:space="preserve"> Disciplina de Inventário e Avaliação da Biodiversidade - PUCPR - Prof Rodrigo Kersten</t>
  </si>
  <si>
    <t>% mortas</t>
  </si>
  <si>
    <t>%  Trepadeiras</t>
  </si>
  <si>
    <t>Medido em campo a 1,3m do solo</t>
  </si>
  <si>
    <t>Altura Média</t>
  </si>
  <si>
    <t>Dist</t>
  </si>
  <si>
    <t>Distância para a 4 árvores mais próximas</t>
  </si>
  <si>
    <t>Area Média</t>
  </si>
  <si>
    <t xml:space="preserve">Distancia Média </t>
  </si>
  <si>
    <t>Fórmulas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</si>
</sst>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0.0"/>
  </numFmts>
  <fonts count="1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b/>
      <sz val="11"/>
      <color theme="2"/>
      <name val="Calibri"/>
      <family val="2"/>
      <scheme val="minor"/>
    </font>
    <font>
      <sz val="11"/>
      <color theme="2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rgb="FF0070C0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1"/>
      <color theme="0" tint="-4.9989318521683403E-2"/>
      <name val="Calibri"/>
      <family val="2"/>
      <scheme val="minor"/>
    </font>
    <font>
      <sz val="8"/>
      <name val="Calibri"/>
      <family val="2"/>
      <scheme val="minor"/>
    </font>
    <font>
      <b/>
      <sz val="12"/>
      <color theme="2"/>
      <name val="Calibri"/>
      <family val="2"/>
      <scheme val="minor"/>
    </font>
    <font>
      <b/>
      <sz val="12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1"/>
        <bgColor indexed="64"/>
      </patternFill>
    </fill>
  </fills>
  <borders count="19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2" fillId="0" borderId="0"/>
  </cellStyleXfs>
  <cellXfs count="55">
    <xf numFmtId="0" fontId="0" fillId="0" borderId="0" xfId="0"/>
    <xf numFmtId="0" fontId="0" fillId="2" borderId="0" xfId="0" applyFill="1" applyAlignment="1">
      <alignment horizontal="center"/>
    </xf>
    <xf numFmtId="2" fontId="0" fillId="2" borderId="1" xfId="0" applyNumberFormat="1" applyFill="1" applyBorder="1" applyAlignment="1">
      <alignment horizontal="center"/>
    </xf>
    <xf numFmtId="1" fontId="0" fillId="2" borderId="1" xfId="0" applyNumberFormat="1" applyFill="1" applyBorder="1" applyAlignment="1">
      <alignment horizontal="center"/>
    </xf>
    <xf numFmtId="0" fontId="0" fillId="2" borderId="0" xfId="0" applyFill="1"/>
    <xf numFmtId="0" fontId="1" fillId="2" borderId="0" xfId="0" applyFont="1" applyFill="1"/>
    <xf numFmtId="0" fontId="1" fillId="3" borderId="17" xfId="0" applyFont="1" applyFill="1" applyBorder="1" applyAlignment="1">
      <alignment horizontal="center"/>
    </xf>
    <xf numFmtId="165" fontId="0" fillId="2" borderId="0" xfId="0" applyNumberFormat="1" applyFill="1"/>
    <xf numFmtId="2" fontId="0" fillId="2" borderId="0" xfId="0" applyNumberFormat="1" applyFill="1"/>
    <xf numFmtId="1" fontId="0" fillId="2" borderId="5" xfId="0" applyNumberFormat="1" applyFill="1" applyBorder="1" applyAlignment="1">
      <alignment horizontal="center"/>
    </xf>
    <xf numFmtId="1" fontId="0" fillId="2" borderId="7" xfId="0" applyNumberFormat="1" applyFill="1" applyBorder="1" applyAlignment="1">
      <alignment horizontal="center"/>
    </xf>
    <xf numFmtId="1" fontId="0" fillId="2" borderId="10" xfId="0" applyNumberFormat="1" applyFill="1" applyBorder="1" applyAlignment="1">
      <alignment horizontal="center"/>
    </xf>
    <xf numFmtId="0" fontId="0" fillId="2" borderId="3" xfId="0" applyFill="1" applyBorder="1"/>
    <xf numFmtId="0" fontId="0" fillId="2" borderId="5" xfId="0" applyFill="1" applyBorder="1"/>
    <xf numFmtId="0" fontId="0" fillId="2" borderId="6" xfId="0" applyFill="1" applyBorder="1"/>
    <xf numFmtId="0" fontId="0" fillId="2" borderId="7" xfId="0" applyFill="1" applyBorder="1"/>
    <xf numFmtId="0" fontId="0" fillId="2" borderId="8" xfId="0" applyFill="1" applyBorder="1"/>
    <xf numFmtId="0" fontId="0" fillId="2" borderId="10" xfId="0" applyFill="1" applyBorder="1"/>
    <xf numFmtId="1" fontId="0" fillId="2" borderId="3" xfId="0" applyNumberFormat="1" applyFill="1" applyBorder="1" applyAlignment="1">
      <alignment horizontal="left"/>
    </xf>
    <xf numFmtId="1" fontId="0" fillId="2" borderId="6" xfId="0" applyNumberFormat="1" applyFill="1" applyBorder="1" applyAlignment="1">
      <alignment horizontal="left"/>
    </xf>
    <xf numFmtId="1" fontId="0" fillId="2" borderId="8" xfId="0" applyNumberFormat="1" applyFill="1" applyBorder="1" applyAlignment="1">
      <alignment horizontal="left"/>
    </xf>
    <xf numFmtId="0" fontId="1" fillId="2" borderId="0" xfId="0" applyFont="1" applyFill="1" applyAlignment="1" applyProtection="1">
      <alignment horizontal="center"/>
      <protection locked="0"/>
    </xf>
    <xf numFmtId="0" fontId="0" fillId="0" borderId="0" xfId="0" applyProtection="1">
      <protection locked="0"/>
    </xf>
    <xf numFmtId="0" fontId="2" fillId="0" borderId="0" xfId="1" applyAlignment="1" applyProtection="1">
      <alignment horizontal="center"/>
      <protection locked="0"/>
    </xf>
    <xf numFmtId="0" fontId="1" fillId="2" borderId="0" xfId="0" applyFont="1" applyFill="1" applyAlignment="1">
      <alignment horizontal="center"/>
    </xf>
    <xf numFmtId="0" fontId="1" fillId="2" borderId="4" xfId="0" applyFont="1" applyFill="1" applyBorder="1"/>
    <xf numFmtId="0" fontId="1" fillId="2" borderId="12" xfId="0" applyFont="1" applyFill="1" applyBorder="1"/>
    <xf numFmtId="0" fontId="1" fillId="2" borderId="15" xfId="0" applyFont="1" applyFill="1" applyBorder="1"/>
    <xf numFmtId="0" fontId="1" fillId="2" borderId="9" xfId="0" applyFont="1" applyFill="1" applyBorder="1"/>
    <xf numFmtId="0" fontId="3" fillId="2" borderId="0" xfId="0" applyFont="1" applyFill="1" applyAlignment="1">
      <alignment horizontal="center"/>
    </xf>
    <xf numFmtId="1" fontId="4" fillId="2" borderId="0" xfId="0" applyNumberFormat="1" applyFont="1" applyFill="1" applyAlignment="1">
      <alignment horizontal="center"/>
    </xf>
    <xf numFmtId="164" fontId="4" fillId="2" borderId="0" xfId="0" applyNumberFormat="1" applyFont="1" applyFill="1" applyAlignment="1">
      <alignment horizontal="center"/>
    </xf>
    <xf numFmtId="165" fontId="0" fillId="2" borderId="1" xfId="0" applyNumberFormat="1" applyFill="1" applyBorder="1" applyAlignment="1">
      <alignment horizontal="center"/>
    </xf>
    <xf numFmtId="0" fontId="4" fillId="2" borderId="0" xfId="0" applyFont="1" applyFill="1"/>
    <xf numFmtId="0" fontId="5" fillId="2" borderId="0" xfId="0" applyFont="1" applyFill="1" applyProtection="1">
      <protection locked="0"/>
    </xf>
    <xf numFmtId="0" fontId="5" fillId="2" borderId="0" xfId="0" applyFont="1" applyFill="1"/>
    <xf numFmtId="0" fontId="6" fillId="2" borderId="0" xfId="0" applyFont="1" applyFill="1" applyProtection="1">
      <protection locked="0"/>
    </xf>
    <xf numFmtId="0" fontId="8" fillId="4" borderId="3" xfId="0" applyFont="1" applyFill="1" applyBorder="1" applyAlignment="1">
      <alignment horizontal="center"/>
    </xf>
    <xf numFmtId="0" fontId="8" fillId="4" borderId="6" xfId="0" applyFont="1" applyFill="1" applyBorder="1" applyAlignment="1">
      <alignment horizontal="center"/>
    </xf>
    <xf numFmtId="0" fontId="8" fillId="4" borderId="11" xfId="0" applyFont="1" applyFill="1" applyBorder="1" applyAlignment="1">
      <alignment horizontal="center"/>
    </xf>
    <xf numFmtId="0" fontId="8" fillId="4" borderId="14" xfId="0" applyFont="1" applyFill="1" applyBorder="1" applyAlignment="1">
      <alignment horizontal="center"/>
    </xf>
    <xf numFmtId="0" fontId="8" fillId="4" borderId="8" xfId="0" applyFont="1" applyFill="1" applyBorder="1" applyAlignment="1">
      <alignment horizontal="center"/>
    </xf>
    <xf numFmtId="2" fontId="0" fillId="2" borderId="0" xfId="0" applyNumberFormat="1" applyFill="1" applyAlignment="1">
      <alignment horizontal="center"/>
    </xf>
    <xf numFmtId="2" fontId="1" fillId="3" borderId="1" xfId="0" applyNumberFormat="1" applyFont="1" applyFill="1" applyBorder="1" applyAlignment="1">
      <alignment horizontal="center"/>
    </xf>
    <xf numFmtId="0" fontId="0" fillId="2" borderId="13" xfId="0" applyFill="1" applyBorder="1"/>
    <xf numFmtId="0" fontId="0" fillId="2" borderId="16" xfId="0" applyFill="1" applyBorder="1"/>
    <xf numFmtId="0" fontId="10" fillId="2" borderId="0" xfId="0" applyFont="1" applyFill="1"/>
    <xf numFmtId="2" fontId="4" fillId="2" borderId="0" xfId="0" applyNumberFormat="1" applyFont="1" applyFill="1" applyAlignment="1">
      <alignment horizontal="center"/>
    </xf>
    <xf numFmtId="165" fontId="4" fillId="2" borderId="0" xfId="0" applyNumberFormat="1" applyFont="1" applyFill="1" applyAlignment="1">
      <alignment horizontal="center"/>
    </xf>
    <xf numFmtId="0" fontId="1" fillId="3" borderId="18" xfId="0" applyFont="1" applyFill="1" applyBorder="1" applyAlignment="1">
      <alignment horizontal="center"/>
    </xf>
    <xf numFmtId="0" fontId="1" fillId="3" borderId="2" xfId="0" applyFont="1" applyFill="1" applyBorder="1" applyAlignment="1">
      <alignment horizontal="center"/>
    </xf>
    <xf numFmtId="0" fontId="7" fillId="2" borderId="0" xfId="0" applyFont="1" applyFill="1" applyAlignment="1">
      <alignment horizontal="left" vertical="center" wrapText="1"/>
    </xf>
    <xf numFmtId="0" fontId="11" fillId="2" borderId="0" xfId="0" applyFont="1" applyFill="1"/>
    <xf numFmtId="0" fontId="12" fillId="2" borderId="0" xfId="0" applyFont="1" applyFill="1" applyAlignment="1">
      <alignment horizontal="center"/>
    </xf>
    <xf numFmtId="0" fontId="13" fillId="2" borderId="0" xfId="0" applyFont="1" applyFill="1"/>
  </cellXfs>
  <cellStyles count="2">
    <cellStyle name="Excel Built-in Normal" xfId="1" xr:uid="{DFC63D33-3981-486C-A5D8-E4FD96E336F5}"/>
    <cellStyle name="Normal" xfId="0" builtinId="0"/>
  </cellStyles>
  <dxfs count="1">
    <dxf>
      <font>
        <color theme="2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15</xdr:col>
      <xdr:colOff>853440</xdr:colOff>
      <xdr:row>20</xdr:row>
      <xdr:rowOff>102870</xdr:rowOff>
    </xdr:from>
    <xdr:ext cx="761234" cy="31688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" name="CaixaDeTexto 1">
              <a:extLst>
                <a:ext uri="{FF2B5EF4-FFF2-40B4-BE49-F238E27FC236}">
                  <a16:creationId xmlns:a16="http://schemas.microsoft.com/office/drawing/2014/main" id="{1A8DC195-3CEB-FDB9-514E-32EE18D64BEB}"/>
                </a:ext>
              </a:extLst>
            </xdr:cNvPr>
            <xdr:cNvSpPr txBox="1"/>
          </xdr:nvSpPr>
          <xdr:spPr>
            <a:xfrm>
              <a:off x="10020300" y="3912870"/>
              <a:ext cx="761234" cy="31688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pt-BR" sz="1100" b="0" i="1">
                        <a:latin typeface="Cambria Math" panose="02040503050406030204" pitchFamily="18" charset="0"/>
                      </a:rPr>
                      <m:t>𝐷𝐴𝑃</m:t>
                    </m:r>
                    <m:r>
                      <a:rPr lang="pt-BR" sz="1100" b="0" i="1">
                        <a:latin typeface="Cambria Math" panose="02040503050406030204" pitchFamily="18" charset="0"/>
                      </a:rPr>
                      <m:t>=</m:t>
                    </m:r>
                    <m:f>
                      <m:fPr>
                        <m:ctrlPr>
                          <a:rPr lang="pt-BR" sz="1100" b="0" i="1"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r>
                          <a:rPr lang="pt-BR" sz="1100" b="0" i="1">
                            <a:latin typeface="Cambria Math" panose="02040503050406030204" pitchFamily="18" charset="0"/>
                          </a:rPr>
                          <m:t>𝑃𝐴𝑃</m:t>
                        </m:r>
                      </m:num>
                      <m:den>
                        <m:r>
                          <a:rPr lang="pt-BR" sz="11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𝜋</m:t>
                        </m:r>
                      </m:den>
                    </m:f>
                  </m:oMath>
                </m:oMathPara>
              </a14:m>
              <a:endParaRPr lang="pt-BR" sz="1100"/>
            </a:p>
          </xdr:txBody>
        </xdr:sp>
      </mc:Choice>
      <mc:Fallback xmlns="">
        <xdr:sp macro="" textlink="">
          <xdr:nvSpPr>
            <xdr:cNvPr id="2" name="CaixaDeTexto 1">
              <a:extLst>
                <a:ext uri="{FF2B5EF4-FFF2-40B4-BE49-F238E27FC236}">
                  <a16:creationId xmlns:a16="http://schemas.microsoft.com/office/drawing/2014/main" id="{1A8DC195-3CEB-FDB9-514E-32EE18D64BEB}"/>
                </a:ext>
              </a:extLst>
            </xdr:cNvPr>
            <xdr:cNvSpPr txBox="1"/>
          </xdr:nvSpPr>
          <xdr:spPr>
            <a:xfrm>
              <a:off x="10020300" y="3912870"/>
              <a:ext cx="761234" cy="31688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pt-BR" sz="1100" b="0" i="0">
                  <a:latin typeface="Cambria Math" panose="02040503050406030204" pitchFamily="18" charset="0"/>
                </a:rPr>
                <a:t>𝐷𝐴𝑃=𝑃𝐴𝑃/</a:t>
              </a:r>
              <a:r>
                <a:rPr lang="pt-BR" sz="1100" b="0" i="0">
                  <a:latin typeface="Cambria Math" panose="02040503050406030204" pitchFamily="18" charset="0"/>
                  <a:ea typeface="Cambria Math" panose="02040503050406030204" pitchFamily="18" charset="0"/>
                </a:rPr>
                <a:t>𝜋</a:t>
              </a:r>
              <a:endParaRPr lang="pt-BR" sz="1100"/>
            </a:p>
          </xdr:txBody>
        </xdr:sp>
      </mc:Fallback>
    </mc:AlternateContent>
    <xdr:clientData/>
  </xdr:oneCellAnchor>
  <xdr:oneCellAnchor>
    <xdr:from>
      <xdr:col>16</xdr:col>
      <xdr:colOff>1074420</xdr:colOff>
      <xdr:row>20</xdr:row>
      <xdr:rowOff>72390</xdr:rowOff>
    </xdr:from>
    <xdr:ext cx="734432" cy="338619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" name="CaixaDeTexto 2">
              <a:extLst>
                <a:ext uri="{FF2B5EF4-FFF2-40B4-BE49-F238E27FC236}">
                  <a16:creationId xmlns:a16="http://schemas.microsoft.com/office/drawing/2014/main" id="{7C966463-9859-8721-4E0F-11501944A973}"/>
                </a:ext>
              </a:extLst>
            </xdr:cNvPr>
            <xdr:cNvSpPr txBox="1"/>
          </xdr:nvSpPr>
          <xdr:spPr>
            <a:xfrm>
              <a:off x="11993880" y="3577590"/>
              <a:ext cx="734432" cy="338619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pt-BR" sz="1100" b="0" i="1">
                        <a:latin typeface="Cambria Math" panose="02040503050406030204" pitchFamily="18" charset="0"/>
                      </a:rPr>
                      <m:t>𝐴𝐵</m:t>
                    </m:r>
                    <m:r>
                      <a:rPr lang="pt-BR" sz="1100" b="0" i="1">
                        <a:latin typeface="Cambria Math" panose="02040503050406030204" pitchFamily="18" charset="0"/>
                      </a:rPr>
                      <m:t>=</m:t>
                    </m:r>
                    <m:f>
                      <m:fPr>
                        <m:ctrlPr>
                          <a:rPr lang="pt-BR" sz="1100" b="0" i="1"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sSup>
                          <m:sSupPr>
                            <m:ctrlPr>
                              <a:rPr lang="pt-BR" sz="1100" b="0" i="1">
                                <a:latin typeface="Cambria Math" panose="02040503050406030204" pitchFamily="18" charset="0"/>
                              </a:rPr>
                            </m:ctrlPr>
                          </m:sSupPr>
                          <m:e>
                            <m:r>
                              <a:rPr lang="pt-BR" sz="1100" b="0" i="1">
                                <a:latin typeface="Cambria Math" panose="02040503050406030204" pitchFamily="18" charset="0"/>
                              </a:rPr>
                              <m:t>𝑃𝐴𝑃</m:t>
                            </m:r>
                          </m:e>
                          <m:sup>
                            <m:r>
                              <a:rPr lang="pt-BR" sz="1100" b="0" i="1">
                                <a:latin typeface="Cambria Math" panose="02040503050406030204" pitchFamily="18" charset="0"/>
                              </a:rPr>
                              <m:t>2</m:t>
                            </m:r>
                          </m:sup>
                        </m:sSup>
                      </m:num>
                      <m:den>
                        <m:r>
                          <a:rPr lang="pt-BR" sz="1100" b="0" i="1">
                            <a:latin typeface="Cambria Math" panose="02040503050406030204" pitchFamily="18" charset="0"/>
                          </a:rPr>
                          <m:t>4</m:t>
                        </m:r>
                        <m:r>
                          <a:rPr lang="pt-BR" sz="11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𝜋</m:t>
                        </m:r>
                      </m:den>
                    </m:f>
                  </m:oMath>
                </m:oMathPara>
              </a14:m>
              <a:endParaRPr lang="pt-BR" sz="1100"/>
            </a:p>
          </xdr:txBody>
        </xdr:sp>
      </mc:Choice>
      <mc:Fallback xmlns="">
        <xdr:sp macro="" textlink="">
          <xdr:nvSpPr>
            <xdr:cNvPr id="3" name="CaixaDeTexto 2">
              <a:extLst>
                <a:ext uri="{FF2B5EF4-FFF2-40B4-BE49-F238E27FC236}">
                  <a16:creationId xmlns:a16="http://schemas.microsoft.com/office/drawing/2014/main" id="{7C966463-9859-8721-4E0F-11501944A973}"/>
                </a:ext>
              </a:extLst>
            </xdr:cNvPr>
            <xdr:cNvSpPr txBox="1"/>
          </xdr:nvSpPr>
          <xdr:spPr>
            <a:xfrm>
              <a:off x="11993880" y="3577590"/>
              <a:ext cx="734432" cy="338619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pt-BR" sz="1100" b="0" i="0">
                  <a:latin typeface="Cambria Math" panose="02040503050406030204" pitchFamily="18" charset="0"/>
                </a:rPr>
                <a:t>𝐴𝐵=〖𝑃𝐴𝑃〗^2/4</a:t>
              </a:r>
              <a:r>
                <a:rPr lang="pt-BR" sz="1100" b="0" i="0">
                  <a:latin typeface="Cambria Math" panose="02040503050406030204" pitchFamily="18" charset="0"/>
                  <a:ea typeface="Cambria Math" panose="02040503050406030204" pitchFamily="18" charset="0"/>
                </a:rPr>
                <a:t>𝜋</a:t>
              </a:r>
              <a:endParaRPr lang="pt-BR" sz="1100"/>
            </a:p>
          </xdr:txBody>
        </xdr:sp>
      </mc:Fallback>
    </mc:AlternateContent>
    <xdr:clientData/>
  </xdr:oneCellAnchor>
  <xdr:twoCellAnchor editAs="oneCell">
    <xdr:from>
      <xdr:col>11</xdr:col>
      <xdr:colOff>0</xdr:colOff>
      <xdr:row>0</xdr:row>
      <xdr:rowOff>1</xdr:rowOff>
    </xdr:from>
    <xdr:to>
      <xdr:col>11</xdr:col>
      <xdr:colOff>344550</xdr:colOff>
      <xdr:row>2</xdr:row>
      <xdr:rowOff>7621</xdr:rowOff>
    </xdr:to>
    <xdr:pic>
      <xdr:nvPicPr>
        <xdr:cNvPr id="5" name="Imagem 4">
          <a:extLst>
            <a:ext uri="{FF2B5EF4-FFF2-40B4-BE49-F238E27FC236}">
              <a16:creationId xmlns:a16="http://schemas.microsoft.com/office/drawing/2014/main" id="{4EB77277-EE77-33A3-9950-68C049F08E3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278880" y="1"/>
          <a:ext cx="344550" cy="38862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F6EAFD-3745-4713-8FCB-7EB17665D127}">
  <dimension ref="A1:X53"/>
  <sheetViews>
    <sheetView tabSelected="1" zoomScaleNormal="100" workbookViewId="0">
      <pane ySplit="2" topLeftCell="A3" activePane="bottomLeft" state="frozen"/>
      <selection pane="bottomLeft" activeCell="G9" sqref="G9"/>
    </sheetView>
  </sheetViews>
  <sheetFormatPr defaultRowHeight="14.4" x14ac:dyDescent="0.3"/>
  <cols>
    <col min="1" max="1" width="5.33203125" style="22" customWidth="1"/>
    <col min="2" max="2" width="8.88671875" style="22"/>
    <col min="3" max="3" width="6.77734375" style="22" customWidth="1"/>
    <col min="4" max="6" width="7.5546875" style="22" customWidth="1"/>
    <col min="7" max="7" width="15.6640625" style="22" customWidth="1"/>
    <col min="8" max="8" width="8.109375" style="22" customWidth="1"/>
    <col min="9" max="9" width="8.5546875" style="22" customWidth="1"/>
    <col min="10" max="11" width="7.77734375" style="4" customWidth="1"/>
    <col min="12" max="12" width="5.5546875" style="4" customWidth="1"/>
    <col min="13" max="13" width="22.77734375" style="4" customWidth="1"/>
    <col min="14" max="14" width="6.77734375" style="4" customWidth="1"/>
    <col min="15" max="15" width="8.88671875" style="4"/>
    <col min="16" max="16" width="28" style="4" customWidth="1"/>
    <col min="17" max="17" width="41.33203125" style="4" customWidth="1"/>
    <col min="18" max="18" width="8.88671875" style="54"/>
    <col min="19" max="19" width="8.88671875" style="33"/>
    <col min="20" max="22" width="8.88671875" style="54"/>
    <col min="23" max="24" width="8.88671875" style="4"/>
  </cols>
  <sheetData>
    <row r="1" spans="1:22" s="35" customFormat="1" ht="16.2" customHeight="1" x14ac:dyDescent="0.3">
      <c r="A1" s="36" t="s">
        <v>52</v>
      </c>
      <c r="B1" s="34"/>
      <c r="C1" s="34"/>
      <c r="D1" s="34"/>
      <c r="E1" s="34"/>
      <c r="F1" s="34"/>
      <c r="G1" s="34"/>
      <c r="H1" s="34"/>
      <c r="I1" s="34"/>
      <c r="M1" s="51" t="s">
        <v>53</v>
      </c>
      <c r="N1" s="51"/>
      <c r="O1" s="51"/>
      <c r="P1" s="51"/>
      <c r="Q1" s="51"/>
      <c r="R1" s="52"/>
      <c r="S1" s="46"/>
      <c r="T1" s="52"/>
      <c r="U1" s="52"/>
      <c r="V1" s="52"/>
    </row>
    <row r="2" spans="1:22" s="24" customFormat="1" ht="13.8" customHeight="1" x14ac:dyDescent="0.3">
      <c r="A2" s="21" t="s">
        <v>8</v>
      </c>
      <c r="B2" s="21" t="s">
        <v>0</v>
      </c>
      <c r="C2" s="21" t="s">
        <v>15</v>
      </c>
      <c r="D2" s="21" t="s">
        <v>18</v>
      </c>
      <c r="E2" s="21" t="s">
        <v>19</v>
      </c>
      <c r="F2" s="21" t="s">
        <v>2</v>
      </c>
      <c r="G2" s="21" t="s">
        <v>3</v>
      </c>
      <c r="H2" s="21" t="s">
        <v>4</v>
      </c>
      <c r="I2" s="21" t="s">
        <v>58</v>
      </c>
      <c r="J2" s="24" t="s">
        <v>31</v>
      </c>
      <c r="K2" s="24" t="s">
        <v>5</v>
      </c>
      <c r="M2" s="51"/>
      <c r="N2" s="51"/>
      <c r="O2" s="51"/>
      <c r="P2" s="51"/>
      <c r="Q2" s="51"/>
      <c r="R2" s="53"/>
      <c r="S2" s="29" t="s">
        <v>62</v>
      </c>
      <c r="T2" s="53"/>
      <c r="U2" s="53"/>
      <c r="V2" s="53"/>
    </row>
    <row r="3" spans="1:22" ht="15" thickBot="1" x14ac:dyDescent="0.35">
      <c r="A3" s="22">
        <v>1</v>
      </c>
      <c r="B3" s="23">
        <v>62</v>
      </c>
      <c r="C3" s="23">
        <v>10</v>
      </c>
      <c r="D3" s="22" t="s">
        <v>7</v>
      </c>
      <c r="E3" s="22" t="s">
        <v>6</v>
      </c>
      <c r="F3" s="22" t="s">
        <v>8</v>
      </c>
      <c r="G3" s="22" t="s">
        <v>10</v>
      </c>
      <c r="H3" s="22" t="s">
        <v>11</v>
      </c>
      <c r="I3" s="22">
        <v>2</v>
      </c>
      <c r="J3" s="7">
        <f t="shared" ref="J3:J22" si="0">B3/PI()</f>
        <v>19.735212943395023</v>
      </c>
      <c r="K3" s="8">
        <f t="shared" ref="K3:K22" si="1">B3^2/(4*PI())</f>
        <v>305.89580062262286</v>
      </c>
      <c r="O3" s="5" t="s">
        <v>48</v>
      </c>
    </row>
    <row r="4" spans="1:22" ht="15" thickBot="1" x14ac:dyDescent="0.35">
      <c r="A4" s="22">
        <v>2</v>
      </c>
      <c r="B4" s="23">
        <v>22</v>
      </c>
      <c r="C4" s="23">
        <v>6</v>
      </c>
      <c r="D4" s="22" t="s">
        <v>7</v>
      </c>
      <c r="E4" s="22" t="s">
        <v>5</v>
      </c>
      <c r="F4" s="22" t="s">
        <v>8</v>
      </c>
      <c r="G4" s="22" t="s">
        <v>9</v>
      </c>
      <c r="H4" s="22" t="s">
        <v>11</v>
      </c>
      <c r="I4" s="22">
        <v>2</v>
      </c>
      <c r="J4" s="7">
        <f t="shared" si="0"/>
        <v>7.0028174960433951</v>
      </c>
      <c r="K4" s="8">
        <f t="shared" si="1"/>
        <v>38.515496228238675</v>
      </c>
      <c r="M4" s="6" t="s">
        <v>39</v>
      </c>
      <c r="O4" s="37" t="s">
        <v>8</v>
      </c>
      <c r="P4" s="25" t="s">
        <v>13</v>
      </c>
      <c r="Q4" s="13" t="s">
        <v>12</v>
      </c>
      <c r="S4" s="29" t="s">
        <v>37</v>
      </c>
    </row>
    <row r="5" spans="1:22" ht="15" thickBot="1" x14ac:dyDescent="0.35">
      <c r="A5" s="22">
        <v>3</v>
      </c>
      <c r="B5" s="23"/>
      <c r="C5" s="23"/>
      <c r="I5" s="22">
        <v>3</v>
      </c>
      <c r="J5" s="7">
        <f t="shared" si="0"/>
        <v>0</v>
      </c>
      <c r="K5" s="8">
        <f t="shared" si="1"/>
        <v>0</v>
      </c>
      <c r="M5" s="32">
        <f>S23*M8</f>
        <v>22.122048269028124</v>
      </c>
      <c r="O5" s="38" t="s">
        <v>0</v>
      </c>
      <c r="P5" s="5" t="s">
        <v>14</v>
      </c>
      <c r="Q5" s="15" t="s">
        <v>56</v>
      </c>
      <c r="S5" s="30">
        <f>SUM(K3:K55)</f>
        <v>344.4112968508615</v>
      </c>
    </row>
    <row r="6" spans="1:22" ht="15" thickBot="1" x14ac:dyDescent="0.35">
      <c r="A6" s="22">
        <v>4</v>
      </c>
      <c r="B6" s="23"/>
      <c r="C6" s="23"/>
      <c r="I6" s="22">
        <v>1</v>
      </c>
      <c r="J6" s="7">
        <f t="shared" si="0"/>
        <v>0</v>
      </c>
      <c r="K6" s="8">
        <f t="shared" si="1"/>
        <v>0</v>
      </c>
      <c r="O6" s="39" t="s">
        <v>15</v>
      </c>
      <c r="P6" s="26" t="s">
        <v>1</v>
      </c>
      <c r="Q6" s="44" t="s">
        <v>16</v>
      </c>
      <c r="S6" s="29" t="s">
        <v>38</v>
      </c>
    </row>
    <row r="7" spans="1:22" ht="15" thickBot="1" x14ac:dyDescent="0.35">
      <c r="A7" s="22">
        <v>5</v>
      </c>
      <c r="B7" s="23"/>
      <c r="C7" s="23"/>
      <c r="I7" s="22">
        <v>4</v>
      </c>
      <c r="J7" s="7">
        <f t="shared" si="0"/>
        <v>0</v>
      </c>
      <c r="K7" s="8">
        <f t="shared" si="1"/>
        <v>0</v>
      </c>
      <c r="M7" s="6" t="s">
        <v>42</v>
      </c>
      <c r="O7" s="38"/>
      <c r="P7" s="5"/>
      <c r="Q7" s="15" t="s">
        <v>21</v>
      </c>
      <c r="S7" s="31">
        <f>S5/10000</f>
        <v>3.4441129685086148E-2</v>
      </c>
    </row>
    <row r="8" spans="1:22" ht="15" thickBot="1" x14ac:dyDescent="0.35">
      <c r="A8" s="22">
        <v>6</v>
      </c>
      <c r="B8" s="23"/>
      <c r="C8" s="23"/>
      <c r="I8" s="22">
        <v>1</v>
      </c>
      <c r="J8" s="7">
        <f t="shared" si="0"/>
        <v>0</v>
      </c>
      <c r="K8" s="8">
        <f t="shared" si="1"/>
        <v>0</v>
      </c>
      <c r="M8" s="3">
        <f>COUNT(A3:A53)</f>
        <v>6</v>
      </c>
      <c r="O8" s="38" t="s">
        <v>18</v>
      </c>
      <c r="P8" s="5" t="s">
        <v>17</v>
      </c>
      <c r="Q8" s="15" t="s">
        <v>22</v>
      </c>
    </row>
    <row r="9" spans="1:22" ht="15" thickBot="1" x14ac:dyDescent="0.35">
      <c r="B9" s="23"/>
      <c r="C9" s="23"/>
      <c r="J9" s="7">
        <f t="shared" si="0"/>
        <v>0</v>
      </c>
      <c r="K9" s="8">
        <f t="shared" si="1"/>
        <v>0</v>
      </c>
      <c r="O9" s="38" t="s">
        <v>19</v>
      </c>
      <c r="P9" s="5" t="s">
        <v>20</v>
      </c>
      <c r="Q9" s="15" t="s">
        <v>23</v>
      </c>
    </row>
    <row r="10" spans="1:22" ht="15" thickBot="1" x14ac:dyDescent="0.35">
      <c r="B10" s="23"/>
      <c r="C10" s="23"/>
      <c r="J10" s="7">
        <f t="shared" si="0"/>
        <v>0</v>
      </c>
      <c r="K10" s="8">
        <f t="shared" si="1"/>
        <v>0</v>
      </c>
      <c r="M10" s="6" t="s">
        <v>51</v>
      </c>
      <c r="O10" s="39"/>
      <c r="P10" s="26"/>
      <c r="Q10" s="44" t="s">
        <v>24</v>
      </c>
    </row>
    <row r="11" spans="1:22" ht="15" thickBot="1" x14ac:dyDescent="0.35">
      <c r="B11" s="23"/>
      <c r="C11" s="23"/>
      <c r="J11" s="7">
        <f t="shared" si="0"/>
        <v>0</v>
      </c>
      <c r="K11" s="8">
        <f t="shared" si="1"/>
        <v>0</v>
      </c>
      <c r="M11" s="3">
        <f>10000/S23</f>
        <v>2712.226249139992</v>
      </c>
      <c r="O11" s="40" t="s">
        <v>2</v>
      </c>
      <c r="P11" s="27" t="s">
        <v>25</v>
      </c>
      <c r="Q11" s="45" t="s">
        <v>26</v>
      </c>
    </row>
    <row r="12" spans="1:22" ht="15" thickBot="1" x14ac:dyDescent="0.35">
      <c r="B12" s="23"/>
      <c r="C12" s="23"/>
      <c r="J12" s="7">
        <f t="shared" si="0"/>
        <v>0</v>
      </c>
      <c r="K12" s="8">
        <f t="shared" si="1"/>
        <v>0</v>
      </c>
      <c r="M12" s="1"/>
      <c r="O12" s="38" t="s">
        <v>3</v>
      </c>
      <c r="P12" s="5" t="s">
        <v>27</v>
      </c>
      <c r="Q12" s="15" t="s">
        <v>49</v>
      </c>
      <c r="S12" s="29" t="s">
        <v>41</v>
      </c>
    </row>
    <row r="13" spans="1:22" ht="15" thickBot="1" x14ac:dyDescent="0.35">
      <c r="B13" s="23"/>
      <c r="C13" s="23"/>
      <c r="J13" s="7">
        <f t="shared" si="0"/>
        <v>0</v>
      </c>
      <c r="K13" s="8">
        <f t="shared" si="1"/>
        <v>0</v>
      </c>
      <c r="M13" s="6" t="s">
        <v>40</v>
      </c>
      <c r="O13" s="38"/>
      <c r="P13" s="5"/>
      <c r="Q13" s="15" t="s">
        <v>50</v>
      </c>
      <c r="S13" s="30" t="e">
        <f>COUNTIF(#REF!,"=s")</f>
        <v>#REF!</v>
      </c>
    </row>
    <row r="14" spans="1:22" ht="15" thickBot="1" x14ac:dyDescent="0.35">
      <c r="B14" s="23"/>
      <c r="C14" s="23"/>
      <c r="J14" s="7">
        <f t="shared" si="0"/>
        <v>0</v>
      </c>
      <c r="K14" s="8">
        <f t="shared" si="1"/>
        <v>0</v>
      </c>
      <c r="M14" s="2">
        <f>S7*(10000/M5)</f>
        <v>15.568689330320874</v>
      </c>
      <c r="O14" s="38"/>
      <c r="P14" s="5"/>
      <c r="Q14" s="15" t="s">
        <v>29</v>
      </c>
    </row>
    <row r="15" spans="1:22" ht="15" thickBot="1" x14ac:dyDescent="0.35">
      <c r="B15" s="23"/>
      <c r="C15" s="23"/>
      <c r="J15" s="7">
        <f t="shared" si="0"/>
        <v>0</v>
      </c>
      <c r="K15" s="8">
        <f t="shared" si="1"/>
        <v>0</v>
      </c>
      <c r="M15" s="42"/>
      <c r="O15" s="39"/>
      <c r="P15" s="26"/>
      <c r="Q15" s="44" t="s">
        <v>30</v>
      </c>
    </row>
    <row r="16" spans="1:22" ht="15" thickBot="1" x14ac:dyDescent="0.35">
      <c r="B16" s="23"/>
      <c r="C16" s="23"/>
      <c r="J16" s="7">
        <f t="shared" si="0"/>
        <v>0</v>
      </c>
      <c r="K16" s="8">
        <f t="shared" si="1"/>
        <v>0</v>
      </c>
      <c r="M16" s="43" t="s">
        <v>57</v>
      </c>
      <c r="O16" s="41" t="s">
        <v>4</v>
      </c>
      <c r="P16" s="28" t="s">
        <v>28</v>
      </c>
      <c r="Q16" s="17" t="s">
        <v>26</v>
      </c>
    </row>
    <row r="17" spans="2:19" ht="15" thickBot="1" x14ac:dyDescent="0.35">
      <c r="B17" s="23"/>
      <c r="C17" s="23"/>
      <c r="J17" s="7">
        <f t="shared" si="0"/>
        <v>0</v>
      </c>
      <c r="K17" s="8">
        <f t="shared" si="1"/>
        <v>0</v>
      </c>
      <c r="M17" s="2">
        <f>AVERAGE(C3:C55)</f>
        <v>8</v>
      </c>
      <c r="O17" s="38" t="s">
        <v>58</v>
      </c>
      <c r="P17" s="5" t="s">
        <v>59</v>
      </c>
      <c r="Q17" s="15"/>
    </row>
    <row r="18" spans="2:19" ht="15" thickBot="1" x14ac:dyDescent="0.35">
      <c r="B18" s="23"/>
      <c r="C18" s="23"/>
      <c r="J18" s="7">
        <f t="shared" si="0"/>
        <v>0</v>
      </c>
      <c r="K18" s="8">
        <f t="shared" si="1"/>
        <v>0</v>
      </c>
      <c r="O18" s="37" t="s">
        <v>31</v>
      </c>
      <c r="P18" s="25" t="s">
        <v>32</v>
      </c>
      <c r="Q18" s="13" t="s">
        <v>33</v>
      </c>
    </row>
    <row r="19" spans="2:19" ht="15" thickBot="1" x14ac:dyDescent="0.35">
      <c r="B19" s="23"/>
      <c r="C19" s="23"/>
      <c r="J19" s="7">
        <f t="shared" si="0"/>
        <v>0</v>
      </c>
      <c r="K19" s="8">
        <f t="shared" si="1"/>
        <v>0</v>
      </c>
      <c r="M19" s="6" t="s">
        <v>54</v>
      </c>
      <c r="O19" s="41" t="s">
        <v>5</v>
      </c>
      <c r="P19" s="28" t="s">
        <v>34</v>
      </c>
      <c r="Q19" s="17" t="s">
        <v>33</v>
      </c>
    </row>
    <row r="20" spans="2:19" ht="15" thickBot="1" x14ac:dyDescent="0.35">
      <c r="B20" s="23"/>
      <c r="C20" s="23"/>
      <c r="J20" s="7">
        <f t="shared" si="0"/>
        <v>0</v>
      </c>
      <c r="K20" s="8">
        <f t="shared" si="1"/>
        <v>0</v>
      </c>
      <c r="M20" s="3" t="e">
        <f>100*S13/M8</f>
        <v>#REF!</v>
      </c>
      <c r="S20" s="29" t="s">
        <v>61</v>
      </c>
    </row>
    <row r="21" spans="2:19" ht="15" thickBot="1" x14ac:dyDescent="0.35">
      <c r="B21" s="23"/>
      <c r="C21" s="23"/>
      <c r="J21" s="7">
        <f t="shared" si="0"/>
        <v>0</v>
      </c>
      <c r="K21" s="8">
        <f t="shared" si="1"/>
        <v>0</v>
      </c>
      <c r="M21" s="1"/>
      <c r="P21" s="12"/>
      <c r="Q21" s="13"/>
      <c r="S21" s="47">
        <f>AVERAGE(I3:I22)</f>
        <v>2.1666666666666665</v>
      </c>
    </row>
    <row r="22" spans="2:19" ht="15" thickBot="1" x14ac:dyDescent="0.35">
      <c r="B22" s="23"/>
      <c r="C22" s="23"/>
      <c r="J22" s="7">
        <f t="shared" si="0"/>
        <v>0</v>
      </c>
      <c r="K22" s="8">
        <f t="shared" si="1"/>
        <v>0</v>
      </c>
      <c r="M22" s="6" t="s">
        <v>55</v>
      </c>
      <c r="P22" s="14"/>
      <c r="Q22" s="15"/>
      <c r="S22" s="29" t="s">
        <v>60</v>
      </c>
    </row>
    <row r="23" spans="2:19" ht="15" thickBot="1" x14ac:dyDescent="0.35">
      <c r="J23" s="7">
        <f t="shared" ref="J23:J53" si="2">B23/PI()</f>
        <v>0</v>
      </c>
      <c r="K23" s="8">
        <f t="shared" ref="K23:K53" si="3">B23^2/(4*PI())</f>
        <v>0</v>
      </c>
      <c r="M23" s="32">
        <f>(COUNTIF(F3:F53,"=s"))*100/M8</f>
        <v>0</v>
      </c>
      <c r="P23" s="16"/>
      <c r="Q23" s="17"/>
      <c r="S23" s="48">
        <f>((S21/2)^2)*PI()</f>
        <v>3.6870080448380205</v>
      </c>
    </row>
    <row r="24" spans="2:19" ht="15" thickBot="1" x14ac:dyDescent="0.35">
      <c r="J24" s="7">
        <f t="shared" si="2"/>
        <v>0</v>
      </c>
      <c r="K24" s="8">
        <f t="shared" si="3"/>
        <v>0</v>
      </c>
    </row>
    <row r="25" spans="2:19" ht="15" thickBot="1" x14ac:dyDescent="0.35">
      <c r="J25" s="7">
        <f t="shared" si="2"/>
        <v>0</v>
      </c>
      <c r="K25" s="8">
        <f t="shared" si="3"/>
        <v>0</v>
      </c>
      <c r="M25" s="49" t="s">
        <v>47</v>
      </c>
      <c r="N25" s="50"/>
      <c r="P25" s="1" t="s">
        <v>35</v>
      </c>
      <c r="Q25" s="1" t="s">
        <v>36</v>
      </c>
    </row>
    <row r="26" spans="2:19" x14ac:dyDescent="0.3">
      <c r="J26" s="7">
        <f t="shared" si="2"/>
        <v>0</v>
      </c>
      <c r="K26" s="8">
        <f t="shared" si="3"/>
        <v>0</v>
      </c>
      <c r="M26" s="18" t="s">
        <v>44</v>
      </c>
      <c r="N26" s="9">
        <f>COUNTIF(D3:D53,"=AU")</f>
        <v>0</v>
      </c>
    </row>
    <row r="27" spans="2:19" x14ac:dyDescent="0.3">
      <c r="J27" s="7">
        <f t="shared" si="2"/>
        <v>0</v>
      </c>
      <c r="K27" s="8">
        <f t="shared" si="3"/>
        <v>0</v>
      </c>
      <c r="M27" s="19" t="s">
        <v>43</v>
      </c>
      <c r="N27" s="10">
        <f>COUNTIF(D3:D53,"=RA")</f>
        <v>2</v>
      </c>
    </row>
    <row r="28" spans="2:19" x14ac:dyDescent="0.3">
      <c r="J28" s="7">
        <f t="shared" si="2"/>
        <v>0</v>
      </c>
      <c r="K28" s="8">
        <f t="shared" si="3"/>
        <v>0</v>
      </c>
      <c r="M28" s="19" t="s">
        <v>45</v>
      </c>
      <c r="N28" s="10">
        <f>COUNTIF(D3:D53,"=FR")</f>
        <v>0</v>
      </c>
    </row>
    <row r="29" spans="2:19" ht="15" thickBot="1" x14ac:dyDescent="0.35">
      <c r="J29" s="7">
        <f t="shared" si="2"/>
        <v>0</v>
      </c>
      <c r="K29" s="8">
        <f t="shared" si="3"/>
        <v>0</v>
      </c>
      <c r="M29" s="20" t="s">
        <v>46</v>
      </c>
      <c r="N29" s="11">
        <f>COUNTIF(D3:D53,"=AB")</f>
        <v>0</v>
      </c>
    </row>
    <row r="30" spans="2:19" ht="15" thickBot="1" x14ac:dyDescent="0.35">
      <c r="J30" s="7">
        <f t="shared" si="2"/>
        <v>0</v>
      </c>
      <c r="K30" s="8">
        <f t="shared" si="3"/>
        <v>0</v>
      </c>
      <c r="P30" s="7"/>
    </row>
    <row r="31" spans="2:19" ht="15" thickBot="1" x14ac:dyDescent="0.35">
      <c r="J31" s="7">
        <f t="shared" si="2"/>
        <v>0</v>
      </c>
      <c r="K31" s="8">
        <f t="shared" si="3"/>
        <v>0</v>
      </c>
      <c r="M31" s="49" t="s">
        <v>47</v>
      </c>
      <c r="N31" s="50"/>
    </row>
    <row r="32" spans="2:19" x14ac:dyDescent="0.3">
      <c r="J32" s="7">
        <f t="shared" si="2"/>
        <v>0</v>
      </c>
      <c r="K32" s="8">
        <f t="shared" si="3"/>
        <v>0</v>
      </c>
      <c r="M32" s="12" t="s">
        <v>44</v>
      </c>
      <c r="N32" s="13">
        <f>COUNTIF(E3:E53,"=AU")</f>
        <v>1</v>
      </c>
    </row>
    <row r="33" spans="10:14" x14ac:dyDescent="0.3">
      <c r="J33" s="7">
        <f t="shared" si="2"/>
        <v>0</v>
      </c>
      <c r="K33" s="8">
        <f t="shared" si="3"/>
        <v>0</v>
      </c>
      <c r="M33" s="14" t="s">
        <v>43</v>
      </c>
      <c r="N33" s="15">
        <f>COUNTIF(E3:E53,"=RA")</f>
        <v>0</v>
      </c>
    </row>
    <row r="34" spans="10:14" x14ac:dyDescent="0.3">
      <c r="J34" s="7">
        <f t="shared" si="2"/>
        <v>0</v>
      </c>
      <c r="K34" s="8">
        <f t="shared" si="3"/>
        <v>0</v>
      </c>
      <c r="M34" s="14" t="s">
        <v>45</v>
      </c>
      <c r="N34" s="15">
        <f>COUNTIF(E3:E53,"=FR")</f>
        <v>0</v>
      </c>
    </row>
    <row r="35" spans="10:14" ht="15" thickBot="1" x14ac:dyDescent="0.35">
      <c r="J35" s="7">
        <f t="shared" si="2"/>
        <v>0</v>
      </c>
      <c r="K35" s="8">
        <f t="shared" si="3"/>
        <v>0</v>
      </c>
      <c r="M35" s="16" t="s">
        <v>46</v>
      </c>
      <c r="N35" s="17">
        <f>COUNTIF(E3:E53,"=AB")</f>
        <v>1</v>
      </c>
    </row>
    <row r="36" spans="10:14" x14ac:dyDescent="0.3">
      <c r="J36" s="7">
        <f t="shared" si="2"/>
        <v>0</v>
      </c>
      <c r="K36" s="8">
        <f t="shared" si="3"/>
        <v>0</v>
      </c>
    </row>
    <row r="37" spans="10:14" x14ac:dyDescent="0.3">
      <c r="J37" s="7">
        <f t="shared" si="2"/>
        <v>0</v>
      </c>
      <c r="K37" s="8">
        <f t="shared" si="3"/>
        <v>0</v>
      </c>
    </row>
    <row r="38" spans="10:14" x14ac:dyDescent="0.3">
      <c r="J38" s="7">
        <f t="shared" si="2"/>
        <v>0</v>
      </c>
      <c r="K38" s="8">
        <f t="shared" si="3"/>
        <v>0</v>
      </c>
    </row>
    <row r="39" spans="10:14" x14ac:dyDescent="0.3">
      <c r="J39" s="7">
        <f t="shared" si="2"/>
        <v>0</v>
      </c>
      <c r="K39" s="8">
        <f t="shared" si="3"/>
        <v>0</v>
      </c>
    </row>
    <row r="40" spans="10:14" x14ac:dyDescent="0.3">
      <c r="J40" s="7">
        <f t="shared" si="2"/>
        <v>0</v>
      </c>
      <c r="K40" s="8">
        <f t="shared" si="3"/>
        <v>0</v>
      </c>
    </row>
    <row r="41" spans="10:14" x14ac:dyDescent="0.3">
      <c r="J41" s="7">
        <f t="shared" si="2"/>
        <v>0</v>
      </c>
      <c r="K41" s="8">
        <f t="shared" si="3"/>
        <v>0</v>
      </c>
    </row>
    <row r="42" spans="10:14" x14ac:dyDescent="0.3">
      <c r="J42" s="7">
        <f t="shared" si="2"/>
        <v>0</v>
      </c>
      <c r="K42" s="8">
        <f t="shared" si="3"/>
        <v>0</v>
      </c>
    </row>
    <row r="43" spans="10:14" x14ac:dyDescent="0.3">
      <c r="J43" s="7">
        <f t="shared" si="2"/>
        <v>0</v>
      </c>
      <c r="K43" s="8">
        <f t="shared" si="3"/>
        <v>0</v>
      </c>
    </row>
    <row r="44" spans="10:14" x14ac:dyDescent="0.3">
      <c r="J44" s="7">
        <f t="shared" si="2"/>
        <v>0</v>
      </c>
      <c r="K44" s="8">
        <f t="shared" si="3"/>
        <v>0</v>
      </c>
    </row>
    <row r="45" spans="10:14" x14ac:dyDescent="0.3">
      <c r="J45" s="7">
        <f t="shared" si="2"/>
        <v>0</v>
      </c>
      <c r="K45" s="8">
        <f t="shared" si="3"/>
        <v>0</v>
      </c>
    </row>
    <row r="46" spans="10:14" x14ac:dyDescent="0.3">
      <c r="J46" s="7">
        <f t="shared" si="2"/>
        <v>0</v>
      </c>
      <c r="K46" s="8">
        <f t="shared" si="3"/>
        <v>0</v>
      </c>
    </row>
    <row r="47" spans="10:14" x14ac:dyDescent="0.3">
      <c r="J47" s="7">
        <f t="shared" si="2"/>
        <v>0</v>
      </c>
      <c r="K47" s="8">
        <f t="shared" si="3"/>
        <v>0</v>
      </c>
    </row>
    <row r="48" spans="10:14" x14ac:dyDescent="0.3">
      <c r="J48" s="7">
        <f t="shared" si="2"/>
        <v>0</v>
      </c>
      <c r="K48" s="8">
        <f t="shared" si="3"/>
        <v>0</v>
      </c>
    </row>
    <row r="49" spans="10:11" x14ac:dyDescent="0.3">
      <c r="J49" s="7">
        <f t="shared" si="2"/>
        <v>0</v>
      </c>
      <c r="K49" s="8">
        <f t="shared" si="3"/>
        <v>0</v>
      </c>
    </row>
    <row r="50" spans="10:11" x14ac:dyDescent="0.3">
      <c r="J50" s="7">
        <f t="shared" si="2"/>
        <v>0</v>
      </c>
      <c r="K50" s="8">
        <f t="shared" si="3"/>
        <v>0</v>
      </c>
    </row>
    <row r="51" spans="10:11" x14ac:dyDescent="0.3">
      <c r="J51" s="7">
        <f t="shared" si="2"/>
        <v>0</v>
      </c>
      <c r="K51" s="8">
        <f t="shared" si="3"/>
        <v>0</v>
      </c>
    </row>
    <row r="52" spans="10:11" x14ac:dyDescent="0.3">
      <c r="J52" s="7">
        <f t="shared" si="2"/>
        <v>0</v>
      </c>
      <c r="K52" s="8">
        <f t="shared" si="3"/>
        <v>0</v>
      </c>
    </row>
    <row r="53" spans="10:11" x14ac:dyDescent="0.3">
      <c r="J53" s="7">
        <f t="shared" si="2"/>
        <v>0</v>
      </c>
      <c r="K53" s="8">
        <f t="shared" si="3"/>
        <v>0</v>
      </c>
    </row>
  </sheetData>
  <sortState xmlns:xlrd2="http://schemas.microsoft.com/office/spreadsheetml/2017/richdata2" ref="A3:L20">
    <sortCondition ref="L4:L20"/>
  </sortState>
  <mergeCells count="3">
    <mergeCell ref="M31:N31"/>
    <mergeCell ref="M25:N25"/>
    <mergeCell ref="M1:Q2"/>
  </mergeCells>
  <phoneticPr fontId="9" type="noConversion"/>
  <conditionalFormatting sqref="J3:K53">
    <cfRule type="cellIs" dxfId="0" priority="1" operator="equal">
      <formula>0</formula>
    </cfRule>
  </conditionalFormatting>
  <pageMargins left="0.511811024" right="0.511811024" top="0.78740157499999996" bottom="0.78740157499999996" header="0.31496062000000002" footer="0.31496062000000002"/>
  <pageSetup paperSize="9" orientation="portrait" horizontalDpi="300" verticalDpi="300" r:id="rId1"/>
  <drawing r:id="rId2"/>
</worksheet>
</file>

<file path=docMetadata/LabelInfo.xml><?xml version="1.0" encoding="utf-8"?>
<clbl:labelList xmlns:clbl="http://schemas.microsoft.com/office/2020/mipLabelMetadata">
  <clbl:label id="{8a1ef6c3-8324-4103-bf4a-1328c5dc3653}" enabled="0" method="" siteId="{8a1ef6c3-8324-4103-bf4a-1328c5dc3653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Rodrigo Kersten</dc:creator>
  <cp:lastModifiedBy>Rodrigo de Andrade Kersten</cp:lastModifiedBy>
  <dcterms:created xsi:type="dcterms:W3CDTF">2023-08-16T17:20:47Z</dcterms:created>
  <dcterms:modified xsi:type="dcterms:W3CDTF">2026-02-24T12:44:04Z</dcterms:modified>
</cp:coreProperties>
</file>