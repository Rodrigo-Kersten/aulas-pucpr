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cpredu-my.sharepoint.com/personal/r_kersten_pucpr_br/Documents/Documents/Aulas/Inventario/Excel/"/>
    </mc:Choice>
  </mc:AlternateContent>
  <xr:revisionPtr revIDLastSave="609" documentId="8_{BEC9D712-1654-4A10-BD03-62DB02FF5398}" xr6:coauthVersionLast="47" xr6:coauthVersionMax="47" xr10:uidLastSave="{FD56EBD3-D9D0-4D74-85B1-1F13BEF038B0}"/>
  <bookViews>
    <workbookView xWindow="-108" yWindow="-108" windowWidth="23256" windowHeight="13896" xr2:uid="{3828D39A-4F3E-440E-BFA8-6BD1C0DE59D9}"/>
  </bookViews>
  <sheets>
    <sheet name="Dados" sheetId="1" r:id="rId1"/>
    <sheet name="Gráfico DAP" sheetId="4" r:id="rId2"/>
    <sheet name="Gráfico Alturas" sheetId="2" r:id="rId3"/>
    <sheet name="Gráfico PAP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6" i="2" l="1"/>
  <c r="Q5" i="2"/>
  <c r="Q4" i="2"/>
  <c r="Q3" i="4" l="1"/>
  <c r="R3" i="4" s="1"/>
  <c r="Q4" i="4"/>
  <c r="R4" i="4" s="1"/>
  <c r="Q5" i="4"/>
  <c r="R5" i="4" s="1"/>
  <c r="Q6" i="4"/>
  <c r="R6" i="4" s="1"/>
  <c r="Q7" i="4"/>
  <c r="R7" i="4" s="1"/>
  <c r="Q8" i="4"/>
  <c r="R8" i="4" s="1"/>
  <c r="Q9" i="4"/>
  <c r="R9" i="4" s="1"/>
  <c r="Q10" i="4"/>
  <c r="R10" i="4" s="1"/>
  <c r="Q11" i="4"/>
  <c r="R11" i="4" s="1"/>
  <c r="Q12" i="4"/>
  <c r="R12" i="4" s="1"/>
  <c r="Q13" i="4"/>
  <c r="R13" i="4" s="1"/>
  <c r="Q14" i="4"/>
  <c r="R14" i="4" s="1"/>
  <c r="Q15" i="4"/>
  <c r="R15" i="4" s="1"/>
  <c r="Q16" i="4"/>
  <c r="R16" i="4" s="1"/>
  <c r="Q17" i="4"/>
  <c r="R17" i="4" s="1"/>
  <c r="Q18" i="4"/>
  <c r="R18" i="4" s="1"/>
  <c r="Q19" i="4"/>
  <c r="R19" i="4" s="1"/>
  <c r="Q20" i="4"/>
  <c r="R20" i="4" s="1"/>
  <c r="Q21" i="4"/>
  <c r="R21" i="4" s="1"/>
  <c r="Q22" i="4"/>
  <c r="R22" i="4" s="1"/>
  <c r="Q23" i="4"/>
  <c r="R23" i="4" s="1"/>
  <c r="Q24" i="4"/>
  <c r="R24" i="4" s="1"/>
  <c r="Q25" i="4"/>
  <c r="R25" i="4" s="1"/>
  <c r="Q26" i="4"/>
  <c r="R26" i="4" s="1"/>
  <c r="Q27" i="4"/>
  <c r="R27" i="4" s="1"/>
  <c r="Q28" i="4"/>
  <c r="R28" i="4" s="1"/>
  <c r="Q29" i="4"/>
  <c r="R29" i="4" s="1"/>
  <c r="Q30" i="4"/>
  <c r="R30" i="4" s="1"/>
  <c r="Q31" i="4"/>
  <c r="R31" i="4" s="1"/>
  <c r="Q32" i="4"/>
  <c r="R32" i="4" s="1"/>
  <c r="Q33" i="4"/>
  <c r="R33" i="4" s="1"/>
  <c r="Q34" i="4"/>
  <c r="R34" i="4" s="1"/>
  <c r="Q35" i="4"/>
  <c r="R35" i="4" s="1"/>
  <c r="Q36" i="4"/>
  <c r="R36" i="4" s="1"/>
  <c r="Q37" i="4"/>
  <c r="R37" i="4" s="1"/>
  <c r="Q38" i="4"/>
  <c r="R38" i="4" s="1"/>
  <c r="Q39" i="4"/>
  <c r="R39" i="4" s="1"/>
  <c r="Q40" i="4"/>
  <c r="R40" i="4" s="1"/>
  <c r="Q41" i="4"/>
  <c r="R41" i="4" s="1"/>
  <c r="Q42" i="4"/>
  <c r="R42" i="4" s="1"/>
  <c r="Q43" i="4"/>
  <c r="R43" i="4" s="1"/>
  <c r="Q44" i="4"/>
  <c r="R44" i="4" s="1"/>
  <c r="Q45" i="4"/>
  <c r="R45" i="4" s="1"/>
  <c r="Q46" i="4"/>
  <c r="R46" i="4" s="1"/>
  <c r="Q47" i="4"/>
  <c r="R47" i="4" s="1"/>
  <c r="Q48" i="4"/>
  <c r="R48" i="4" s="1"/>
  <c r="Q49" i="4"/>
  <c r="R49" i="4" s="1"/>
  <c r="Q50" i="4"/>
  <c r="R50" i="4" s="1"/>
  <c r="Q51" i="4"/>
  <c r="R51" i="4" s="1"/>
  <c r="Q52" i="4"/>
  <c r="R52" i="4" s="1"/>
  <c r="Q53" i="4"/>
  <c r="R53" i="4" s="1"/>
  <c r="Q54" i="4"/>
  <c r="R54" i="4" s="1"/>
  <c r="Q55" i="4"/>
  <c r="R55" i="4" s="1"/>
  <c r="Q56" i="4"/>
  <c r="R56" i="4" s="1"/>
  <c r="Q57" i="4"/>
  <c r="R57" i="4" s="1"/>
  <c r="Q58" i="4"/>
  <c r="R58" i="4" s="1"/>
  <c r="Q59" i="4"/>
  <c r="R59" i="4" s="1"/>
  <c r="Q60" i="4"/>
  <c r="R60" i="4" s="1"/>
  <c r="Q61" i="4"/>
  <c r="R61" i="4" s="1"/>
  <c r="Q62" i="4"/>
  <c r="R62" i="4" s="1"/>
  <c r="Q63" i="4"/>
  <c r="R63" i="4" s="1"/>
  <c r="Q64" i="4"/>
  <c r="R64" i="4" s="1"/>
  <c r="Q65" i="4"/>
  <c r="R65" i="4" s="1"/>
  <c r="Q66" i="4"/>
  <c r="R66" i="4" s="1"/>
  <c r="Q67" i="4"/>
  <c r="R67" i="4" s="1"/>
  <c r="Q68" i="4"/>
  <c r="R68" i="4" s="1"/>
  <c r="Q69" i="4"/>
  <c r="R69" i="4" s="1"/>
  <c r="Q70" i="4"/>
  <c r="R70" i="4" s="1"/>
  <c r="Q71" i="4"/>
  <c r="R71" i="4" s="1"/>
  <c r="Q72" i="4"/>
  <c r="R72" i="4" s="1"/>
  <c r="Q73" i="4"/>
  <c r="R73" i="4" s="1"/>
  <c r="Q74" i="4"/>
  <c r="R74" i="4" s="1"/>
  <c r="Q75" i="4"/>
  <c r="R75" i="4" s="1"/>
  <c r="Q76" i="4"/>
  <c r="R76" i="4" s="1"/>
  <c r="Q77" i="4"/>
  <c r="R77" i="4" s="1"/>
  <c r="Q78" i="4"/>
  <c r="R78" i="4" s="1"/>
  <c r="Q79" i="4"/>
  <c r="R79" i="4" s="1"/>
  <c r="Q80" i="4"/>
  <c r="R80" i="4" s="1"/>
  <c r="Q81" i="4"/>
  <c r="R81" i="4" s="1"/>
  <c r="Q82" i="4"/>
  <c r="R82" i="4" s="1"/>
  <c r="Q83" i="4"/>
  <c r="R83" i="4" s="1"/>
  <c r="Q84" i="4"/>
  <c r="R84" i="4" s="1"/>
  <c r="Q85" i="4"/>
  <c r="R85" i="4" s="1"/>
  <c r="Q86" i="4"/>
  <c r="R86" i="4" s="1"/>
  <c r="Q87" i="4"/>
  <c r="R87" i="4" s="1"/>
  <c r="Q88" i="4"/>
  <c r="R88" i="4" s="1"/>
  <c r="Q89" i="4"/>
  <c r="R89" i="4" s="1"/>
  <c r="Q90" i="4"/>
  <c r="R90" i="4" s="1"/>
  <c r="Q91" i="4"/>
  <c r="R91" i="4" s="1"/>
  <c r="Q92" i="4"/>
  <c r="R92" i="4" s="1"/>
  <c r="Q93" i="4"/>
  <c r="R93" i="4" s="1"/>
  <c r="Q94" i="4"/>
  <c r="R94" i="4" s="1"/>
  <c r="Q95" i="4"/>
  <c r="R95" i="4" s="1"/>
  <c r="Q96" i="4"/>
  <c r="R96" i="4" s="1"/>
  <c r="Q97" i="4"/>
  <c r="R97" i="4" s="1"/>
  <c r="Q98" i="4"/>
  <c r="R98" i="4" s="1"/>
  <c r="Q99" i="4"/>
  <c r="R99" i="4" s="1"/>
  <c r="Q100" i="4"/>
  <c r="R100" i="4" s="1"/>
  <c r="Q101" i="4"/>
  <c r="R101" i="4" s="1"/>
  <c r="Q102" i="4"/>
  <c r="R102" i="4" s="1"/>
  <c r="Q103" i="4"/>
  <c r="R103" i="4" s="1"/>
  <c r="Q104" i="4"/>
  <c r="R104" i="4" s="1"/>
  <c r="Q105" i="4"/>
  <c r="R105" i="4" s="1"/>
  <c r="Q106" i="4"/>
  <c r="R106" i="4" s="1"/>
  <c r="Q107" i="4"/>
  <c r="R107" i="4" s="1"/>
  <c r="Q108" i="4"/>
  <c r="R108" i="4" s="1"/>
  <c r="Q109" i="4"/>
  <c r="R109" i="4" s="1"/>
  <c r="Q110" i="4"/>
  <c r="R110" i="4" s="1"/>
  <c r="Q111" i="4"/>
  <c r="R111" i="4" s="1"/>
  <c r="Q112" i="4"/>
  <c r="R112" i="4" s="1"/>
  <c r="Q113" i="4"/>
  <c r="R113" i="4" s="1"/>
  <c r="Q114" i="4"/>
  <c r="R114" i="4" s="1"/>
  <c r="Q115" i="4"/>
  <c r="R115" i="4" s="1"/>
  <c r="Q116" i="4"/>
  <c r="R116" i="4" s="1"/>
  <c r="Q117" i="4"/>
  <c r="R117" i="4" s="1"/>
  <c r="Q118" i="4"/>
  <c r="R118" i="4" s="1"/>
  <c r="Q119" i="4"/>
  <c r="R119" i="4" s="1"/>
  <c r="Q120" i="4"/>
  <c r="R120" i="4" s="1"/>
  <c r="Q121" i="4"/>
  <c r="R121" i="4" s="1"/>
  <c r="Q122" i="4"/>
  <c r="R122" i="4" s="1"/>
  <c r="Q123" i="4"/>
  <c r="R123" i="4" s="1"/>
  <c r="Q124" i="4"/>
  <c r="R124" i="4" s="1"/>
  <c r="Q125" i="4"/>
  <c r="R125" i="4" s="1"/>
  <c r="Q126" i="4"/>
  <c r="R126" i="4" s="1"/>
  <c r="Q127" i="4"/>
  <c r="R127" i="4" s="1"/>
  <c r="Q128" i="4"/>
  <c r="R128" i="4" s="1"/>
  <c r="Q129" i="4"/>
  <c r="R129" i="4" s="1"/>
  <c r="Q130" i="4"/>
  <c r="R130" i="4" s="1"/>
  <c r="Q131" i="4"/>
  <c r="R131" i="4" s="1"/>
  <c r="Q132" i="4"/>
  <c r="R132" i="4" s="1"/>
  <c r="Q133" i="4"/>
  <c r="R133" i="4" s="1"/>
  <c r="Q134" i="4"/>
  <c r="R134" i="4" s="1"/>
  <c r="Q135" i="4"/>
  <c r="R135" i="4" s="1"/>
  <c r="Q136" i="4"/>
  <c r="R136" i="4" s="1"/>
  <c r="Q137" i="4"/>
  <c r="R137" i="4" s="1"/>
  <c r="Q138" i="4"/>
  <c r="R138" i="4" s="1"/>
  <c r="Q139" i="4"/>
  <c r="R139" i="4" s="1"/>
  <c r="Q140" i="4"/>
  <c r="R140" i="4" s="1"/>
  <c r="Q141" i="4"/>
  <c r="R141" i="4" s="1"/>
  <c r="Q142" i="4"/>
  <c r="R142" i="4" s="1"/>
  <c r="Q143" i="4"/>
  <c r="R143" i="4" s="1"/>
  <c r="Q144" i="4"/>
  <c r="R144" i="4" s="1"/>
  <c r="Q145" i="4"/>
  <c r="R145" i="4" s="1"/>
  <c r="Q146" i="4"/>
  <c r="R146" i="4" s="1"/>
  <c r="Q147" i="4"/>
  <c r="R147" i="4" s="1"/>
  <c r="Q148" i="4"/>
  <c r="R148" i="4" s="1"/>
  <c r="Q149" i="4"/>
  <c r="R149" i="4" s="1"/>
  <c r="Q150" i="4"/>
  <c r="R150" i="4" s="1"/>
  <c r="Q151" i="4"/>
  <c r="R151" i="4" s="1"/>
  <c r="Q152" i="4"/>
  <c r="R152" i="4" s="1"/>
  <c r="Q153" i="4"/>
  <c r="R153" i="4" s="1"/>
  <c r="Q154" i="4"/>
  <c r="R154" i="4" s="1"/>
  <c r="Q155" i="4"/>
  <c r="R155" i="4" s="1"/>
  <c r="Q156" i="4"/>
  <c r="R156" i="4" s="1"/>
  <c r="Q157" i="4"/>
  <c r="R157" i="4" s="1"/>
  <c r="Q158" i="4"/>
  <c r="R158" i="4" s="1"/>
  <c r="Q159" i="4"/>
  <c r="R159" i="4" s="1"/>
  <c r="Q160" i="4"/>
  <c r="R160" i="4" s="1"/>
  <c r="Q161" i="4"/>
  <c r="R161" i="4" s="1"/>
  <c r="Q162" i="4"/>
  <c r="R162" i="4" s="1"/>
  <c r="Q163" i="4"/>
  <c r="R163" i="4" s="1"/>
  <c r="Q164" i="4"/>
  <c r="R164" i="4" s="1"/>
  <c r="Q165" i="4"/>
  <c r="R165" i="4" s="1"/>
  <c r="Q166" i="4"/>
  <c r="R166" i="4" s="1"/>
  <c r="Q167" i="4"/>
  <c r="R167" i="4" s="1"/>
  <c r="Q168" i="4"/>
  <c r="R168" i="4" s="1"/>
  <c r="Q169" i="4"/>
  <c r="R169" i="4" s="1"/>
  <c r="Q170" i="4"/>
  <c r="R170" i="4" s="1"/>
  <c r="Q171" i="4"/>
  <c r="R171" i="4" s="1"/>
  <c r="Q172" i="4"/>
  <c r="R172" i="4" s="1"/>
  <c r="Q173" i="4"/>
  <c r="R173" i="4" s="1"/>
  <c r="Q174" i="4"/>
  <c r="R174" i="4" s="1"/>
  <c r="Q175" i="4"/>
  <c r="R175" i="4" s="1"/>
  <c r="Q176" i="4"/>
  <c r="R176" i="4" s="1"/>
  <c r="Q177" i="4"/>
  <c r="R177" i="4" s="1"/>
  <c r="Q178" i="4"/>
  <c r="R178" i="4" s="1"/>
  <c r="Q179" i="4"/>
  <c r="R179" i="4" s="1"/>
  <c r="Q180" i="4"/>
  <c r="R180" i="4" s="1"/>
  <c r="Q181" i="4"/>
  <c r="R181" i="4" s="1"/>
  <c r="Q182" i="4"/>
  <c r="R182" i="4" s="1"/>
  <c r="Q183" i="4"/>
  <c r="R183" i="4" s="1"/>
  <c r="Q184" i="4"/>
  <c r="R184" i="4" s="1"/>
  <c r="Q185" i="4"/>
  <c r="R185" i="4" s="1"/>
  <c r="Q186" i="4"/>
  <c r="R186" i="4" s="1"/>
  <c r="Q187" i="4"/>
  <c r="R187" i="4" s="1"/>
  <c r="Q188" i="4"/>
  <c r="R188" i="4" s="1"/>
  <c r="Q189" i="4"/>
  <c r="R189" i="4" s="1"/>
  <c r="Q190" i="4"/>
  <c r="R190" i="4" s="1"/>
  <c r="Q191" i="4"/>
  <c r="R191" i="4" s="1"/>
  <c r="Q192" i="4"/>
  <c r="R192" i="4" s="1"/>
  <c r="Q193" i="4"/>
  <c r="R193" i="4" s="1"/>
  <c r="Q194" i="4"/>
  <c r="R194" i="4" s="1"/>
  <c r="Q195" i="4"/>
  <c r="R195" i="4" s="1"/>
  <c r="Q196" i="4"/>
  <c r="R196" i="4" s="1"/>
  <c r="Q197" i="4"/>
  <c r="R197" i="4" s="1"/>
  <c r="Q198" i="4"/>
  <c r="R198" i="4" s="1"/>
  <c r="Q199" i="4"/>
  <c r="R199" i="4" s="1"/>
  <c r="Q200" i="4"/>
  <c r="R200" i="4" s="1"/>
  <c r="Q201" i="4"/>
  <c r="R201" i="4" s="1"/>
  <c r="Q202" i="4"/>
  <c r="R202" i="4" s="1"/>
  <c r="Q203" i="4"/>
  <c r="R203" i="4" s="1"/>
  <c r="Q204" i="4"/>
  <c r="R204" i="4" s="1"/>
  <c r="Q205" i="4"/>
  <c r="R205" i="4" s="1"/>
  <c r="Q206" i="4"/>
  <c r="R206" i="4" s="1"/>
  <c r="Q207" i="4"/>
  <c r="R207" i="4" s="1"/>
  <c r="Q208" i="4"/>
  <c r="R208" i="4" s="1"/>
  <c r="Q209" i="4"/>
  <c r="R209" i="4" s="1"/>
  <c r="Q210" i="4"/>
  <c r="R210" i="4" s="1"/>
  <c r="Q211" i="4"/>
  <c r="R211" i="4" s="1"/>
  <c r="Q212" i="4"/>
  <c r="R212" i="4" s="1"/>
  <c r="Q213" i="4"/>
  <c r="R213" i="4" s="1"/>
  <c r="Q214" i="4"/>
  <c r="R214" i="4" s="1"/>
  <c r="Q215" i="4"/>
  <c r="R215" i="4" s="1"/>
  <c r="Q216" i="4"/>
  <c r="R216" i="4" s="1"/>
  <c r="Q217" i="4"/>
  <c r="R217" i="4" s="1"/>
  <c r="Q218" i="4"/>
  <c r="R218" i="4" s="1"/>
  <c r="Q219" i="4"/>
  <c r="R219" i="4" s="1"/>
  <c r="Q220" i="4"/>
  <c r="R220" i="4" s="1"/>
  <c r="Q221" i="4"/>
  <c r="R221" i="4" s="1"/>
  <c r="Q222" i="4"/>
  <c r="R222" i="4" s="1"/>
  <c r="Q223" i="4"/>
  <c r="R223" i="4" s="1"/>
  <c r="Q224" i="4"/>
  <c r="R224" i="4" s="1"/>
  <c r="Q225" i="4"/>
  <c r="R225" i="4" s="1"/>
  <c r="Q226" i="4"/>
  <c r="R226" i="4" s="1"/>
  <c r="Q227" i="4"/>
  <c r="R227" i="4" s="1"/>
  <c r="Q228" i="4"/>
  <c r="R228" i="4" s="1"/>
  <c r="Q229" i="4"/>
  <c r="R229" i="4" s="1"/>
  <c r="Q230" i="4"/>
  <c r="R230" i="4" s="1"/>
  <c r="Q231" i="4"/>
  <c r="R231" i="4" s="1"/>
  <c r="Q232" i="4"/>
  <c r="R232" i="4" s="1"/>
  <c r="Q233" i="4"/>
  <c r="R233" i="4" s="1"/>
  <c r="Q234" i="4"/>
  <c r="R234" i="4" s="1"/>
  <c r="Q235" i="4"/>
  <c r="R235" i="4" s="1"/>
  <c r="Q236" i="4"/>
  <c r="R236" i="4" s="1"/>
  <c r="Q237" i="4"/>
  <c r="R237" i="4" s="1"/>
  <c r="Q238" i="4"/>
  <c r="R238" i="4" s="1"/>
  <c r="Q239" i="4"/>
  <c r="R239" i="4" s="1"/>
  <c r="Q240" i="4"/>
  <c r="R240" i="4" s="1"/>
  <c r="Q241" i="4"/>
  <c r="R241" i="4" s="1"/>
  <c r="Q242" i="4"/>
  <c r="R242" i="4" s="1"/>
  <c r="Q243" i="4"/>
  <c r="R243" i="4" s="1"/>
  <c r="Q244" i="4"/>
  <c r="R244" i="4" s="1"/>
  <c r="Q245" i="4"/>
  <c r="R245" i="4" s="1"/>
  <c r="Q246" i="4"/>
  <c r="R246" i="4" s="1"/>
  <c r="Q247" i="4"/>
  <c r="R247" i="4" s="1"/>
  <c r="Q248" i="4"/>
  <c r="R248" i="4" s="1"/>
  <c r="Q249" i="4"/>
  <c r="R249" i="4" s="1"/>
  <c r="Q250" i="4"/>
  <c r="R250" i="4" s="1"/>
  <c r="Q251" i="4"/>
  <c r="R251" i="4" s="1"/>
  <c r="Q252" i="4"/>
  <c r="R252" i="4" s="1"/>
  <c r="Q253" i="4"/>
  <c r="R253" i="4" s="1"/>
  <c r="Q254" i="4"/>
  <c r="R254" i="4" s="1"/>
  <c r="Q255" i="4"/>
  <c r="R255" i="4" s="1"/>
  <c r="Q256" i="4"/>
  <c r="R256" i="4" s="1"/>
  <c r="Q257" i="4"/>
  <c r="R257" i="4" s="1"/>
  <c r="Q258" i="4"/>
  <c r="R258" i="4" s="1"/>
  <c r="Q259" i="4"/>
  <c r="R259" i="4" s="1"/>
  <c r="Q260" i="4"/>
  <c r="R260" i="4" s="1"/>
  <c r="Q261" i="4"/>
  <c r="R261" i="4" s="1"/>
  <c r="Q262" i="4"/>
  <c r="R262" i="4" s="1"/>
  <c r="Q263" i="4"/>
  <c r="R263" i="4" s="1"/>
  <c r="Q264" i="4"/>
  <c r="R264" i="4" s="1"/>
  <c r="Q265" i="4"/>
  <c r="R265" i="4" s="1"/>
  <c r="Q266" i="4"/>
  <c r="R266" i="4" s="1"/>
  <c r="Q267" i="4"/>
  <c r="R267" i="4" s="1"/>
  <c r="Q268" i="4"/>
  <c r="R268" i="4" s="1"/>
  <c r="Q269" i="4"/>
  <c r="R269" i="4" s="1"/>
  <c r="Q270" i="4"/>
  <c r="R270" i="4" s="1"/>
  <c r="Q271" i="4"/>
  <c r="R271" i="4" s="1"/>
  <c r="Q272" i="4"/>
  <c r="R272" i="4" s="1"/>
  <c r="Q273" i="4"/>
  <c r="R273" i="4" s="1"/>
  <c r="Q274" i="4"/>
  <c r="R274" i="4" s="1"/>
  <c r="Q275" i="4"/>
  <c r="R275" i="4" s="1"/>
  <c r="Q276" i="4"/>
  <c r="R276" i="4" s="1"/>
  <c r="Q277" i="4"/>
  <c r="R277" i="4" s="1"/>
  <c r="Q278" i="4"/>
  <c r="R278" i="4" s="1"/>
  <c r="Q279" i="4"/>
  <c r="R279" i="4" s="1"/>
  <c r="Q280" i="4"/>
  <c r="R280" i="4" s="1"/>
  <c r="Q281" i="4"/>
  <c r="R281" i="4" s="1"/>
  <c r="Q282" i="4"/>
  <c r="R282" i="4" s="1"/>
  <c r="Q283" i="4"/>
  <c r="R283" i="4" s="1"/>
  <c r="Q284" i="4"/>
  <c r="R284" i="4" s="1"/>
  <c r="Q285" i="4"/>
  <c r="R285" i="4" s="1"/>
  <c r="Q286" i="4"/>
  <c r="R286" i="4" s="1"/>
  <c r="Q287" i="4"/>
  <c r="R287" i="4" s="1"/>
  <c r="Q288" i="4"/>
  <c r="R288" i="4" s="1"/>
  <c r="Q289" i="4"/>
  <c r="R289" i="4" s="1"/>
  <c r="Q290" i="4"/>
  <c r="R290" i="4" s="1"/>
  <c r="Q291" i="4"/>
  <c r="R291" i="4" s="1"/>
  <c r="Q292" i="4"/>
  <c r="R292" i="4" s="1"/>
  <c r="Q293" i="4"/>
  <c r="R293" i="4" s="1"/>
  <c r="Q294" i="4"/>
  <c r="R294" i="4" s="1"/>
  <c r="Q295" i="4"/>
  <c r="R295" i="4" s="1"/>
  <c r="Q296" i="4"/>
  <c r="R296" i="4" s="1"/>
  <c r="Q297" i="4"/>
  <c r="R297" i="4" s="1"/>
  <c r="Q298" i="4"/>
  <c r="R298" i="4" s="1"/>
  <c r="Q299" i="4"/>
  <c r="R299" i="4" s="1"/>
  <c r="Q300" i="4"/>
  <c r="R300" i="4" s="1"/>
  <c r="Q301" i="4"/>
  <c r="R301" i="4" s="1"/>
  <c r="Q302" i="4"/>
  <c r="R302" i="4" s="1"/>
  <c r="Q303" i="4"/>
  <c r="R303" i="4" s="1"/>
  <c r="Q304" i="4"/>
  <c r="R304" i="4" s="1"/>
  <c r="Q305" i="4"/>
  <c r="R305" i="4" s="1"/>
  <c r="Q306" i="4"/>
  <c r="R306" i="4" s="1"/>
  <c r="Q307" i="4"/>
  <c r="R307" i="4" s="1"/>
  <c r="Q308" i="4"/>
  <c r="R308" i="4" s="1"/>
  <c r="Q309" i="4"/>
  <c r="R309" i="4" s="1"/>
  <c r="Q310" i="4"/>
  <c r="R310" i="4" s="1"/>
  <c r="Q311" i="4"/>
  <c r="R311" i="4" s="1"/>
  <c r="Q312" i="4"/>
  <c r="R312" i="4" s="1"/>
  <c r="Q313" i="4"/>
  <c r="R313" i="4" s="1"/>
  <c r="Q314" i="4"/>
  <c r="R314" i="4" s="1"/>
  <c r="Q315" i="4"/>
  <c r="R315" i="4" s="1"/>
  <c r="Q316" i="4"/>
  <c r="R316" i="4" s="1"/>
  <c r="Q317" i="4"/>
  <c r="R317" i="4" s="1"/>
  <c r="Q318" i="4"/>
  <c r="R318" i="4" s="1"/>
  <c r="Q319" i="4"/>
  <c r="R319" i="4" s="1"/>
  <c r="Q320" i="4"/>
  <c r="R320" i="4" s="1"/>
  <c r="Q321" i="4"/>
  <c r="R321" i="4" s="1"/>
  <c r="Q322" i="4"/>
  <c r="R322" i="4" s="1"/>
  <c r="Q323" i="4"/>
  <c r="R323" i="4" s="1"/>
  <c r="Q324" i="4"/>
  <c r="R324" i="4" s="1"/>
  <c r="Q325" i="4"/>
  <c r="R325" i="4" s="1"/>
  <c r="Q326" i="4"/>
  <c r="R326" i="4" s="1"/>
  <c r="Q327" i="4"/>
  <c r="R327" i="4" s="1"/>
  <c r="Q328" i="4"/>
  <c r="R328" i="4" s="1"/>
  <c r="Q329" i="4"/>
  <c r="R329" i="4" s="1"/>
  <c r="Q330" i="4"/>
  <c r="R330" i="4" s="1"/>
  <c r="Q331" i="4"/>
  <c r="R331" i="4" s="1"/>
  <c r="Q332" i="4"/>
  <c r="R332" i="4" s="1"/>
  <c r="Q333" i="4"/>
  <c r="R333" i="4" s="1"/>
  <c r="Q334" i="4"/>
  <c r="R334" i="4" s="1"/>
  <c r="Q335" i="4"/>
  <c r="R335" i="4" s="1"/>
  <c r="Q336" i="4"/>
  <c r="R336" i="4" s="1"/>
  <c r="Q337" i="4"/>
  <c r="R337" i="4" s="1"/>
  <c r="Q338" i="4"/>
  <c r="R338" i="4" s="1"/>
  <c r="Q339" i="4"/>
  <c r="R339" i="4" s="1"/>
  <c r="Q340" i="4"/>
  <c r="R340" i="4" s="1"/>
  <c r="Q341" i="4"/>
  <c r="R341" i="4" s="1"/>
  <c r="Q342" i="4"/>
  <c r="R342" i="4" s="1"/>
  <c r="Q343" i="4"/>
  <c r="R343" i="4" s="1"/>
  <c r="Q344" i="4"/>
  <c r="R344" i="4" s="1"/>
  <c r="Q345" i="4"/>
  <c r="R345" i="4" s="1"/>
  <c r="Q346" i="4"/>
  <c r="R346" i="4" s="1"/>
  <c r="Q347" i="4"/>
  <c r="R347" i="4" s="1"/>
  <c r="Q348" i="4"/>
  <c r="R348" i="4" s="1"/>
  <c r="Q349" i="4"/>
  <c r="R349" i="4" s="1"/>
  <c r="Q350" i="4"/>
  <c r="R350" i="4" s="1"/>
  <c r="Q351" i="4"/>
  <c r="R351" i="4" s="1"/>
  <c r="Q352" i="4"/>
  <c r="R352" i="4" s="1"/>
  <c r="Q353" i="4"/>
  <c r="R353" i="4" s="1"/>
  <c r="Q354" i="4"/>
  <c r="R354" i="4" s="1"/>
  <c r="Q355" i="4"/>
  <c r="R355" i="4" s="1"/>
  <c r="Q356" i="4"/>
  <c r="R356" i="4" s="1"/>
  <c r="Q357" i="4"/>
  <c r="R357" i="4" s="1"/>
  <c r="Q358" i="4"/>
  <c r="R358" i="4" s="1"/>
  <c r="Q359" i="4"/>
  <c r="R359" i="4" s="1"/>
  <c r="Q360" i="4"/>
  <c r="R360" i="4" s="1"/>
  <c r="Q361" i="4"/>
  <c r="R361" i="4" s="1"/>
  <c r="Q362" i="4"/>
  <c r="R362" i="4" s="1"/>
  <c r="Q363" i="4"/>
  <c r="R363" i="4" s="1"/>
  <c r="Q364" i="4"/>
  <c r="R364" i="4" s="1"/>
  <c r="Q365" i="4"/>
  <c r="R365" i="4" s="1"/>
  <c r="Q366" i="4"/>
  <c r="R366" i="4" s="1"/>
  <c r="Q367" i="4"/>
  <c r="R367" i="4" s="1"/>
  <c r="Q368" i="4"/>
  <c r="R368" i="4" s="1"/>
  <c r="Q369" i="4"/>
  <c r="R369" i="4" s="1"/>
  <c r="Q370" i="4"/>
  <c r="R370" i="4" s="1"/>
  <c r="Q371" i="4"/>
  <c r="R371" i="4" s="1"/>
  <c r="Q372" i="4"/>
  <c r="R372" i="4" s="1"/>
  <c r="Q373" i="4"/>
  <c r="R373" i="4" s="1"/>
  <c r="Q374" i="4"/>
  <c r="R374" i="4" s="1"/>
  <c r="Q375" i="4"/>
  <c r="R375" i="4" s="1"/>
  <c r="Q376" i="4"/>
  <c r="R376" i="4" s="1"/>
  <c r="Q377" i="4"/>
  <c r="R377" i="4" s="1"/>
  <c r="Q378" i="4"/>
  <c r="R378" i="4" s="1"/>
  <c r="Q379" i="4"/>
  <c r="R379" i="4" s="1"/>
  <c r="Q380" i="4"/>
  <c r="R380" i="4" s="1"/>
  <c r="Q381" i="4"/>
  <c r="R381" i="4" s="1"/>
  <c r="Q382" i="4"/>
  <c r="R382" i="4" s="1"/>
  <c r="Q383" i="4"/>
  <c r="R383" i="4" s="1"/>
  <c r="Q384" i="4"/>
  <c r="R384" i="4" s="1"/>
  <c r="Q385" i="4"/>
  <c r="R385" i="4" s="1"/>
  <c r="Q386" i="4"/>
  <c r="R386" i="4" s="1"/>
  <c r="Q387" i="4"/>
  <c r="R387" i="4" s="1"/>
  <c r="Q388" i="4"/>
  <c r="R388" i="4" s="1"/>
  <c r="Q389" i="4"/>
  <c r="R389" i="4" s="1"/>
  <c r="Q390" i="4"/>
  <c r="R390" i="4" s="1"/>
  <c r="Q391" i="4"/>
  <c r="R391" i="4" s="1"/>
  <c r="Q392" i="4"/>
  <c r="R392" i="4" s="1"/>
  <c r="Q393" i="4"/>
  <c r="R393" i="4" s="1"/>
  <c r="Q394" i="4"/>
  <c r="R394" i="4" s="1"/>
  <c r="Q395" i="4"/>
  <c r="R395" i="4" s="1"/>
  <c r="Q396" i="4"/>
  <c r="R396" i="4" s="1"/>
  <c r="Q397" i="4"/>
  <c r="R397" i="4" s="1"/>
  <c r="Q398" i="4"/>
  <c r="R398" i="4" s="1"/>
  <c r="Q399" i="4"/>
  <c r="R399" i="4" s="1"/>
  <c r="Q400" i="4"/>
  <c r="R400" i="4" s="1"/>
  <c r="Q401" i="4"/>
  <c r="R401" i="4" s="1"/>
  <c r="Q402" i="4"/>
  <c r="R402" i="4" s="1"/>
  <c r="Q403" i="4"/>
  <c r="R403" i="4" s="1"/>
  <c r="Q404" i="4"/>
  <c r="R404" i="4" s="1"/>
  <c r="Q405" i="4"/>
  <c r="R405" i="4" s="1"/>
  <c r="Q406" i="4"/>
  <c r="R406" i="4" s="1"/>
  <c r="Q407" i="4"/>
  <c r="R407" i="4" s="1"/>
  <c r="Q408" i="4"/>
  <c r="R408" i="4" s="1"/>
  <c r="Q409" i="4"/>
  <c r="R409" i="4" s="1"/>
  <c r="Q410" i="4"/>
  <c r="R410" i="4" s="1"/>
  <c r="Q411" i="4"/>
  <c r="R411" i="4" s="1"/>
  <c r="Q412" i="4"/>
  <c r="R412" i="4" s="1"/>
  <c r="Q413" i="4"/>
  <c r="R413" i="4" s="1"/>
  <c r="Q414" i="4"/>
  <c r="R414" i="4" s="1"/>
  <c r="Q415" i="4"/>
  <c r="R415" i="4" s="1"/>
  <c r="Q416" i="4"/>
  <c r="R416" i="4" s="1"/>
  <c r="Q417" i="4"/>
  <c r="R417" i="4" s="1"/>
  <c r="Q418" i="4"/>
  <c r="R418" i="4" s="1"/>
  <c r="Q419" i="4"/>
  <c r="R419" i="4" s="1"/>
  <c r="Q420" i="4"/>
  <c r="R420" i="4" s="1"/>
  <c r="Q421" i="4"/>
  <c r="R421" i="4" s="1"/>
  <c r="Q422" i="4"/>
  <c r="R422" i="4" s="1"/>
  <c r="Q423" i="4"/>
  <c r="R423" i="4" s="1"/>
  <c r="Q424" i="4"/>
  <c r="R424" i="4" s="1"/>
  <c r="Q425" i="4"/>
  <c r="R425" i="4" s="1"/>
  <c r="Q426" i="4"/>
  <c r="R426" i="4" s="1"/>
  <c r="Q427" i="4"/>
  <c r="R427" i="4" s="1"/>
  <c r="Q428" i="4"/>
  <c r="R428" i="4" s="1"/>
  <c r="Q429" i="4"/>
  <c r="R429" i="4" s="1"/>
  <c r="Q430" i="4"/>
  <c r="R430" i="4" s="1"/>
  <c r="Q431" i="4"/>
  <c r="R431" i="4" s="1"/>
  <c r="Q432" i="4"/>
  <c r="R432" i="4" s="1"/>
  <c r="Q433" i="4"/>
  <c r="R433" i="4" s="1"/>
  <c r="Q434" i="4"/>
  <c r="R434" i="4" s="1"/>
  <c r="Q435" i="4"/>
  <c r="R435" i="4" s="1"/>
  <c r="Q436" i="4"/>
  <c r="R436" i="4" s="1"/>
  <c r="Q437" i="4"/>
  <c r="R437" i="4" s="1"/>
  <c r="Q438" i="4"/>
  <c r="R438" i="4" s="1"/>
  <c r="Q439" i="4"/>
  <c r="R439" i="4" s="1"/>
  <c r="Q440" i="4"/>
  <c r="R440" i="4" s="1"/>
  <c r="Q441" i="4"/>
  <c r="R441" i="4" s="1"/>
  <c r="Q442" i="4"/>
  <c r="R442" i="4" s="1"/>
  <c r="Q443" i="4"/>
  <c r="R443" i="4" s="1"/>
  <c r="Q444" i="4"/>
  <c r="R444" i="4" s="1"/>
  <c r="Q445" i="4"/>
  <c r="R445" i="4" s="1"/>
  <c r="Q446" i="4"/>
  <c r="R446" i="4" s="1"/>
  <c r="Q447" i="4"/>
  <c r="R447" i="4" s="1"/>
  <c r="Q448" i="4"/>
  <c r="R448" i="4" s="1"/>
  <c r="Q449" i="4"/>
  <c r="R449" i="4" s="1"/>
  <c r="Q450" i="4"/>
  <c r="R450" i="4" s="1"/>
  <c r="Q451" i="4"/>
  <c r="R451" i="4" s="1"/>
  <c r="Q452" i="4"/>
  <c r="R452" i="4" s="1"/>
  <c r="Q453" i="4"/>
  <c r="R453" i="4" s="1"/>
  <c r="Q454" i="4"/>
  <c r="R454" i="4" s="1"/>
  <c r="Q455" i="4"/>
  <c r="R455" i="4" s="1"/>
  <c r="Q456" i="4"/>
  <c r="R456" i="4" s="1"/>
  <c r="Q457" i="4"/>
  <c r="R457" i="4" s="1"/>
  <c r="Q458" i="4"/>
  <c r="R458" i="4" s="1"/>
  <c r="Q459" i="4"/>
  <c r="R459" i="4" s="1"/>
  <c r="Q460" i="4"/>
  <c r="R460" i="4" s="1"/>
  <c r="Q461" i="4"/>
  <c r="R461" i="4" s="1"/>
  <c r="Q462" i="4"/>
  <c r="R462" i="4" s="1"/>
  <c r="Q463" i="4"/>
  <c r="R463" i="4" s="1"/>
  <c r="Q464" i="4"/>
  <c r="R464" i="4" s="1"/>
  <c r="Q465" i="4"/>
  <c r="R465" i="4" s="1"/>
  <c r="Q466" i="4"/>
  <c r="R466" i="4" s="1"/>
  <c r="Q467" i="4"/>
  <c r="R467" i="4" s="1"/>
  <c r="Q468" i="4"/>
  <c r="R468" i="4" s="1"/>
  <c r="Q469" i="4"/>
  <c r="R469" i="4" s="1"/>
  <c r="Q470" i="4"/>
  <c r="R470" i="4" s="1"/>
  <c r="Q471" i="4"/>
  <c r="R471" i="4" s="1"/>
  <c r="Q472" i="4"/>
  <c r="R472" i="4" s="1"/>
  <c r="Q473" i="4"/>
  <c r="R473" i="4" s="1"/>
  <c r="Q474" i="4"/>
  <c r="R474" i="4" s="1"/>
  <c r="Q475" i="4"/>
  <c r="R475" i="4" s="1"/>
  <c r="Q476" i="4"/>
  <c r="R476" i="4" s="1"/>
  <c r="Q477" i="4"/>
  <c r="R477" i="4" s="1"/>
  <c r="Q478" i="4"/>
  <c r="R478" i="4" s="1"/>
  <c r="Q479" i="4"/>
  <c r="R479" i="4" s="1"/>
  <c r="Q480" i="4"/>
  <c r="R480" i="4" s="1"/>
  <c r="Q481" i="4"/>
  <c r="R481" i="4" s="1"/>
  <c r="Q482" i="4"/>
  <c r="R482" i="4" s="1"/>
  <c r="Q483" i="4"/>
  <c r="R483" i="4" s="1"/>
  <c r="Q484" i="4"/>
  <c r="R484" i="4" s="1"/>
  <c r="Q485" i="4"/>
  <c r="R485" i="4" s="1"/>
  <c r="Q486" i="4"/>
  <c r="R486" i="4" s="1"/>
  <c r="Q487" i="4"/>
  <c r="R487" i="4" s="1"/>
  <c r="Q488" i="4"/>
  <c r="R488" i="4" s="1"/>
  <c r="Q489" i="4"/>
  <c r="R489" i="4" s="1"/>
  <c r="Q490" i="4"/>
  <c r="R490" i="4" s="1"/>
  <c r="Q491" i="4"/>
  <c r="R491" i="4" s="1"/>
  <c r="Q492" i="4"/>
  <c r="R492" i="4" s="1"/>
  <c r="Q493" i="4"/>
  <c r="R493" i="4" s="1"/>
  <c r="Q494" i="4"/>
  <c r="R494" i="4" s="1"/>
  <c r="Q495" i="4"/>
  <c r="R495" i="4" s="1"/>
  <c r="Q496" i="4"/>
  <c r="R496" i="4" s="1"/>
  <c r="Q497" i="4"/>
  <c r="R497" i="4" s="1"/>
  <c r="Q498" i="4"/>
  <c r="R498" i="4" s="1"/>
  <c r="Q499" i="4"/>
  <c r="R499" i="4" s="1"/>
  <c r="Q500" i="4"/>
  <c r="R500" i="4" s="1"/>
  <c r="Q501" i="4"/>
  <c r="R501" i="4" s="1"/>
  <c r="Q2" i="4"/>
  <c r="R2" i="4" s="1"/>
  <c r="R610" i="5"/>
  <c r="R609" i="5"/>
  <c r="R608" i="5"/>
  <c r="R607" i="5"/>
  <c r="R606" i="5"/>
  <c r="R605" i="5"/>
  <c r="R604" i="5"/>
  <c r="R603" i="5"/>
  <c r="R602" i="5"/>
  <c r="R601" i="5"/>
  <c r="R600" i="5"/>
  <c r="R599" i="5"/>
  <c r="R598" i="5"/>
  <c r="R597" i="5"/>
  <c r="R596" i="5"/>
  <c r="R595" i="5"/>
  <c r="R594" i="5"/>
  <c r="R593" i="5"/>
  <c r="R592" i="5"/>
  <c r="R591" i="5"/>
  <c r="R590" i="5"/>
  <c r="R589" i="5"/>
  <c r="R588" i="5"/>
  <c r="R587" i="5"/>
  <c r="R586" i="5"/>
  <c r="R585" i="5"/>
  <c r="R584" i="5"/>
  <c r="R583" i="5"/>
  <c r="R582" i="5"/>
  <c r="R581" i="5"/>
  <c r="R580" i="5"/>
  <c r="R579" i="5"/>
  <c r="R578" i="5"/>
  <c r="R577" i="5"/>
  <c r="R576" i="5"/>
  <c r="R575" i="5"/>
  <c r="R574" i="5"/>
  <c r="R573" i="5"/>
  <c r="R572" i="5"/>
  <c r="R571" i="5"/>
  <c r="R570" i="5"/>
  <c r="R569" i="5"/>
  <c r="R568" i="5"/>
  <c r="R567" i="5"/>
  <c r="R566" i="5"/>
  <c r="R565" i="5"/>
  <c r="R564" i="5"/>
  <c r="R563" i="5"/>
  <c r="R562" i="5"/>
  <c r="R561" i="5"/>
  <c r="R560" i="5"/>
  <c r="R559" i="5"/>
  <c r="R558" i="5"/>
  <c r="R557" i="5"/>
  <c r="R556" i="5"/>
  <c r="R555" i="5"/>
  <c r="R554" i="5"/>
  <c r="R553" i="5"/>
  <c r="R552" i="5"/>
  <c r="R551" i="5"/>
  <c r="R550" i="5"/>
  <c r="R549" i="5"/>
  <c r="R548" i="5"/>
  <c r="R547" i="5"/>
  <c r="R546" i="5"/>
  <c r="R545" i="5"/>
  <c r="R544" i="5"/>
  <c r="R543" i="5"/>
  <c r="R542" i="5"/>
  <c r="R541" i="5"/>
  <c r="R540" i="5"/>
  <c r="R539" i="5"/>
  <c r="R538" i="5"/>
  <c r="R537" i="5"/>
  <c r="R536" i="5"/>
  <c r="R535" i="5"/>
  <c r="R534" i="5"/>
  <c r="R533" i="5"/>
  <c r="R532" i="5"/>
  <c r="R531" i="5"/>
  <c r="R530" i="5"/>
  <c r="R529" i="5"/>
  <c r="R528" i="5"/>
  <c r="R527" i="5"/>
  <c r="R526" i="5"/>
  <c r="R525" i="5"/>
  <c r="R524" i="5"/>
  <c r="R523" i="5"/>
  <c r="R522" i="5"/>
  <c r="R521" i="5"/>
  <c r="R520" i="5"/>
  <c r="R519" i="5"/>
  <c r="R518" i="5"/>
  <c r="R517" i="5"/>
  <c r="R501" i="5"/>
  <c r="R500" i="5"/>
  <c r="R499" i="5"/>
  <c r="R498" i="5"/>
  <c r="R497" i="5"/>
  <c r="R496" i="5"/>
  <c r="R495" i="5"/>
  <c r="R494" i="5"/>
  <c r="R493" i="5"/>
  <c r="R492" i="5"/>
  <c r="R491" i="5"/>
  <c r="R490" i="5"/>
  <c r="R489" i="5"/>
  <c r="R488" i="5"/>
  <c r="R487" i="5"/>
  <c r="R486" i="5"/>
  <c r="R485" i="5"/>
  <c r="R484" i="5"/>
  <c r="R483" i="5"/>
  <c r="R482" i="5"/>
  <c r="R481" i="5"/>
  <c r="R480" i="5"/>
  <c r="R479" i="5"/>
  <c r="R478" i="5"/>
  <c r="R477" i="5"/>
  <c r="R476" i="5"/>
  <c r="R475" i="5"/>
  <c r="R474" i="5"/>
  <c r="R473" i="5"/>
  <c r="R472" i="5"/>
  <c r="R471" i="5"/>
  <c r="R470" i="5"/>
  <c r="R469" i="5"/>
  <c r="R468" i="5"/>
  <c r="R467" i="5"/>
  <c r="R466" i="5"/>
  <c r="R465" i="5"/>
  <c r="R464" i="5"/>
  <c r="R463" i="5"/>
  <c r="R462" i="5"/>
  <c r="R461" i="5"/>
  <c r="R460" i="5"/>
  <c r="R459" i="5"/>
  <c r="R458" i="5"/>
  <c r="R457" i="5"/>
  <c r="R456" i="5"/>
  <c r="R455" i="5"/>
  <c r="R454" i="5"/>
  <c r="R453" i="5"/>
  <c r="R452" i="5"/>
  <c r="R451" i="5"/>
  <c r="R450" i="5"/>
  <c r="R449" i="5"/>
  <c r="R448" i="5"/>
  <c r="R447" i="5"/>
  <c r="R446" i="5"/>
  <c r="R445" i="5"/>
  <c r="R444" i="5"/>
  <c r="R443" i="5"/>
  <c r="R442" i="5"/>
  <c r="R441" i="5"/>
  <c r="R440" i="5"/>
  <c r="R439" i="5"/>
  <c r="R438" i="5"/>
  <c r="R437" i="5"/>
  <c r="R436" i="5"/>
  <c r="R435" i="5"/>
  <c r="R434" i="5"/>
  <c r="R433" i="5"/>
  <c r="R432" i="5"/>
  <c r="R431" i="5"/>
  <c r="R430" i="5"/>
  <c r="R429" i="5"/>
  <c r="R428" i="5"/>
  <c r="R427" i="5"/>
  <c r="R426" i="5"/>
  <c r="R425" i="5"/>
  <c r="R424" i="5"/>
  <c r="R423" i="5"/>
  <c r="R422" i="5"/>
  <c r="R421" i="5"/>
  <c r="R420" i="5"/>
  <c r="R419" i="5"/>
  <c r="R418" i="5"/>
  <c r="R417" i="5"/>
  <c r="R416" i="5"/>
  <c r="R415" i="5"/>
  <c r="R414" i="5"/>
  <c r="R413" i="5"/>
  <c r="R412" i="5"/>
  <c r="R411" i="5"/>
  <c r="R410" i="5"/>
  <c r="R409" i="5"/>
  <c r="R408" i="5"/>
  <c r="R407" i="5"/>
  <c r="R406" i="5"/>
  <c r="R405" i="5"/>
  <c r="R404" i="5"/>
  <c r="R403" i="5"/>
  <c r="R402" i="5"/>
  <c r="R401" i="5"/>
  <c r="R400" i="5"/>
  <c r="R399" i="5"/>
  <c r="R398" i="5"/>
  <c r="R397" i="5"/>
  <c r="R396" i="5"/>
  <c r="R395" i="5"/>
  <c r="R394" i="5"/>
  <c r="R393" i="5"/>
  <c r="R392" i="5"/>
  <c r="R391" i="5"/>
  <c r="R390" i="5"/>
  <c r="R389" i="5"/>
  <c r="R388" i="5"/>
  <c r="R387" i="5"/>
  <c r="R386" i="5"/>
  <c r="R385" i="5"/>
  <c r="R384" i="5"/>
  <c r="R383" i="5"/>
  <c r="R382" i="5"/>
  <c r="R381" i="5"/>
  <c r="R380" i="5"/>
  <c r="R379" i="5"/>
  <c r="R378" i="5"/>
  <c r="R377" i="5"/>
  <c r="R376" i="5"/>
  <c r="R375" i="5"/>
  <c r="R374" i="5"/>
  <c r="R373" i="5"/>
  <c r="R372" i="5"/>
  <c r="R371" i="5"/>
  <c r="R370" i="5"/>
  <c r="R369" i="5"/>
  <c r="R368" i="5"/>
  <c r="R367" i="5"/>
  <c r="R366" i="5"/>
  <c r="R365" i="5"/>
  <c r="R364" i="5"/>
  <c r="R363" i="5"/>
  <c r="R362" i="5"/>
  <c r="R361" i="5"/>
  <c r="R360" i="5"/>
  <c r="R359" i="5"/>
  <c r="R358" i="5"/>
  <c r="R357" i="5"/>
  <c r="R356" i="5"/>
  <c r="R355" i="5"/>
  <c r="R354" i="5"/>
  <c r="R353" i="5"/>
  <c r="R352" i="5"/>
  <c r="R351" i="5"/>
  <c r="R350" i="5"/>
  <c r="R349" i="5"/>
  <c r="R348" i="5"/>
  <c r="R347" i="5"/>
  <c r="R346" i="5"/>
  <c r="R345" i="5"/>
  <c r="R344" i="5"/>
  <c r="R343" i="5"/>
  <c r="R342" i="5"/>
  <c r="R341" i="5"/>
  <c r="R340" i="5"/>
  <c r="R339" i="5"/>
  <c r="R338" i="5"/>
  <c r="R337" i="5"/>
  <c r="R336" i="5"/>
  <c r="R335" i="5"/>
  <c r="R334" i="5"/>
  <c r="R333" i="5"/>
  <c r="R332" i="5"/>
  <c r="R331" i="5"/>
  <c r="R330" i="5"/>
  <c r="R329" i="5"/>
  <c r="R328" i="5"/>
  <c r="R327" i="5"/>
  <c r="R326" i="5"/>
  <c r="R325" i="5"/>
  <c r="R324" i="5"/>
  <c r="R323" i="5"/>
  <c r="R322" i="5"/>
  <c r="R321" i="5"/>
  <c r="R320" i="5"/>
  <c r="R319" i="5"/>
  <c r="R318" i="5"/>
  <c r="R317" i="5"/>
  <c r="R316" i="5"/>
  <c r="R315" i="5"/>
  <c r="R314" i="5"/>
  <c r="R313" i="5"/>
  <c r="R312" i="5"/>
  <c r="R311" i="5"/>
  <c r="R310" i="5"/>
  <c r="R309" i="5"/>
  <c r="R308" i="5"/>
  <c r="R307" i="5"/>
  <c r="R306" i="5"/>
  <c r="R305" i="5"/>
  <c r="R304" i="5"/>
  <c r="R303" i="5"/>
  <c r="R302" i="5"/>
  <c r="R301" i="5"/>
  <c r="R300" i="5"/>
  <c r="R299" i="5"/>
  <c r="R298" i="5"/>
  <c r="R297" i="5"/>
  <c r="R296" i="5"/>
  <c r="R295" i="5"/>
  <c r="R294" i="5"/>
  <c r="R293" i="5"/>
  <c r="R292" i="5"/>
  <c r="R291" i="5"/>
  <c r="R290" i="5"/>
  <c r="R289" i="5"/>
  <c r="R288" i="5"/>
  <c r="R287" i="5"/>
  <c r="R286" i="5"/>
  <c r="R285" i="5"/>
  <c r="R284" i="5"/>
  <c r="R283" i="5"/>
  <c r="R282" i="5"/>
  <c r="R281" i="5"/>
  <c r="R280" i="5"/>
  <c r="R279" i="5"/>
  <c r="R278" i="5"/>
  <c r="R277" i="5"/>
  <c r="R276" i="5"/>
  <c r="R275" i="5"/>
  <c r="R274" i="5"/>
  <c r="R273" i="5"/>
  <c r="R272" i="5"/>
  <c r="R271" i="5"/>
  <c r="R270" i="5"/>
  <c r="R269" i="5"/>
  <c r="R268" i="5"/>
  <c r="R267" i="5"/>
  <c r="R266" i="5"/>
  <c r="R265" i="5"/>
  <c r="R264" i="5"/>
  <c r="R263" i="5"/>
  <c r="R262" i="5"/>
  <c r="R261" i="5"/>
  <c r="R260" i="5"/>
  <c r="R259" i="5"/>
  <c r="R258" i="5"/>
  <c r="R257" i="5"/>
  <c r="R256" i="5"/>
  <c r="R255" i="5"/>
  <c r="R254" i="5"/>
  <c r="R253" i="5"/>
  <c r="R252" i="5"/>
  <c r="R251" i="5"/>
  <c r="R250" i="5"/>
  <c r="R249" i="5"/>
  <c r="R248" i="5"/>
  <c r="R247" i="5"/>
  <c r="R246" i="5"/>
  <c r="R245" i="5"/>
  <c r="R244" i="5"/>
  <c r="R243" i="5"/>
  <c r="R242" i="5"/>
  <c r="R241" i="5"/>
  <c r="R240" i="5"/>
  <c r="R239" i="5"/>
  <c r="R238" i="5"/>
  <c r="R237" i="5"/>
  <c r="R236" i="5"/>
  <c r="R235" i="5"/>
  <c r="R234" i="5"/>
  <c r="R233" i="5"/>
  <c r="R232" i="5"/>
  <c r="R231" i="5"/>
  <c r="R230" i="5"/>
  <c r="R229" i="5"/>
  <c r="R228" i="5"/>
  <c r="R227" i="5"/>
  <c r="R226" i="5"/>
  <c r="R225" i="5"/>
  <c r="R224" i="5"/>
  <c r="R223" i="5"/>
  <c r="R222" i="5"/>
  <c r="R221" i="5"/>
  <c r="R220" i="5"/>
  <c r="R219" i="5"/>
  <c r="R218" i="5"/>
  <c r="R217" i="5"/>
  <c r="R216" i="5"/>
  <c r="R215" i="5"/>
  <c r="R214" i="5"/>
  <c r="R213" i="5"/>
  <c r="R212" i="5"/>
  <c r="R211" i="5"/>
  <c r="R210" i="5"/>
  <c r="R209" i="5"/>
  <c r="R208" i="5"/>
  <c r="R207" i="5"/>
  <c r="R206" i="5"/>
  <c r="R205" i="5"/>
  <c r="R204" i="5"/>
  <c r="R203" i="5"/>
  <c r="R202" i="5"/>
  <c r="R201" i="5"/>
  <c r="R200" i="5"/>
  <c r="R199" i="5"/>
  <c r="R198" i="5"/>
  <c r="R197" i="5"/>
  <c r="R196" i="5"/>
  <c r="R195" i="5"/>
  <c r="R194" i="5"/>
  <c r="R193" i="5"/>
  <c r="R192" i="5"/>
  <c r="R191" i="5"/>
  <c r="R190" i="5"/>
  <c r="R189" i="5"/>
  <c r="R188" i="5"/>
  <c r="R187" i="5"/>
  <c r="R186" i="5"/>
  <c r="R185" i="5"/>
  <c r="R184" i="5"/>
  <c r="R183" i="5"/>
  <c r="R182" i="5"/>
  <c r="R181" i="5"/>
  <c r="R180" i="5"/>
  <c r="R179" i="5"/>
  <c r="R178" i="5"/>
  <c r="R177" i="5"/>
  <c r="R176" i="5"/>
  <c r="R175" i="5"/>
  <c r="R174" i="5"/>
  <c r="R173" i="5"/>
  <c r="R172" i="5"/>
  <c r="R171" i="5"/>
  <c r="R170" i="5"/>
  <c r="R169" i="5"/>
  <c r="R168" i="5"/>
  <c r="R167" i="5"/>
  <c r="R166" i="5"/>
  <c r="R165" i="5"/>
  <c r="R164" i="5"/>
  <c r="R163" i="5"/>
  <c r="R162" i="5"/>
  <c r="R161" i="5"/>
  <c r="R160" i="5"/>
  <c r="R159" i="5"/>
  <c r="R158" i="5"/>
  <c r="R157" i="5"/>
  <c r="R156" i="5"/>
  <c r="R155" i="5"/>
  <c r="R154" i="5"/>
  <c r="R153" i="5"/>
  <c r="R152" i="5"/>
  <c r="R151" i="5"/>
  <c r="R150" i="5"/>
  <c r="R149" i="5"/>
  <c r="R148" i="5"/>
  <c r="R147" i="5"/>
  <c r="R146" i="5"/>
  <c r="R145" i="5"/>
  <c r="R144" i="5"/>
  <c r="R143" i="5"/>
  <c r="R142" i="5"/>
  <c r="R141" i="5"/>
  <c r="R140" i="5"/>
  <c r="R139" i="5"/>
  <c r="R138" i="5"/>
  <c r="R137" i="5"/>
  <c r="R136" i="5"/>
  <c r="R135" i="5"/>
  <c r="R134" i="5"/>
  <c r="R133" i="5"/>
  <c r="R132" i="5"/>
  <c r="R131" i="5"/>
  <c r="R130" i="5"/>
  <c r="R129" i="5"/>
  <c r="R128" i="5"/>
  <c r="R127" i="5"/>
  <c r="R126" i="5"/>
  <c r="R125" i="5"/>
  <c r="R124" i="5"/>
  <c r="R123" i="5"/>
  <c r="R122" i="5"/>
  <c r="R121" i="5"/>
  <c r="R120" i="5"/>
  <c r="R119" i="5"/>
  <c r="R118" i="5"/>
  <c r="R117" i="5"/>
  <c r="R116" i="5"/>
  <c r="R115" i="5"/>
  <c r="R114" i="5"/>
  <c r="R113" i="5"/>
  <c r="R112" i="5"/>
  <c r="R111" i="5"/>
  <c r="R110" i="5"/>
  <c r="R109" i="5"/>
  <c r="R108" i="5"/>
  <c r="R107" i="5"/>
  <c r="R106" i="5"/>
  <c r="R105" i="5"/>
  <c r="R104" i="5"/>
  <c r="R103" i="5"/>
  <c r="R102" i="5"/>
  <c r="R101" i="5"/>
  <c r="R100" i="5"/>
  <c r="R99" i="5"/>
  <c r="R98" i="5"/>
  <c r="R97" i="5"/>
  <c r="R96" i="5"/>
  <c r="R95" i="5"/>
  <c r="R94" i="5"/>
  <c r="R93" i="5"/>
  <c r="R92" i="5"/>
  <c r="R91" i="5"/>
  <c r="R90" i="5"/>
  <c r="R89" i="5"/>
  <c r="R88" i="5"/>
  <c r="R87" i="5"/>
  <c r="R86" i="5"/>
  <c r="R85" i="5"/>
  <c r="R84" i="5"/>
  <c r="R83" i="5"/>
  <c r="R82" i="5"/>
  <c r="R81" i="5"/>
  <c r="R80" i="5"/>
  <c r="R79" i="5"/>
  <c r="R78" i="5"/>
  <c r="R77" i="5"/>
  <c r="R76" i="5"/>
  <c r="R75" i="5"/>
  <c r="R74" i="5"/>
  <c r="R73" i="5"/>
  <c r="R72" i="5"/>
  <c r="R71" i="5"/>
  <c r="R70" i="5"/>
  <c r="R69" i="5"/>
  <c r="R68" i="5"/>
  <c r="R67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R4" i="5"/>
  <c r="R3" i="5"/>
  <c r="R2" i="5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T2" i="5" l="1" a="1"/>
  <c r="T2" i="5" s="1"/>
  <c r="L24" i="5"/>
  <c r="L23" i="5"/>
  <c r="L23" i="4"/>
  <c r="L24" i="4"/>
  <c r="T2" i="4" a="1"/>
  <c r="T2" i="4" s="1"/>
  <c r="Q7" i="2"/>
  <c r="Q8" i="2"/>
  <c r="Q11" i="2"/>
  <c r="Q9" i="2"/>
  <c r="Q13" i="2"/>
  <c r="Q14" i="2"/>
  <c r="Q10" i="2"/>
  <c r="Q25" i="2"/>
  <c r="Q17" i="2"/>
  <c r="Q18" i="2"/>
  <c r="Q24" i="2"/>
  <c r="Q22" i="2"/>
  <c r="Q6" i="2"/>
  <c r="Q23" i="2"/>
  <c r="Q19" i="2"/>
  <c r="Q20" i="2"/>
  <c r="Q27" i="2"/>
  <c r="Q28" i="2"/>
  <c r="Q29" i="2"/>
  <c r="Q30" i="2"/>
  <c r="Q31" i="2"/>
  <c r="Q32" i="2"/>
  <c r="Q16" i="2" l="1"/>
  <c r="Q15" i="2"/>
  <c r="Q12" i="2"/>
  <c r="Q3" i="2"/>
  <c r="Q21" i="2"/>
  <c r="Q2" i="2"/>
  <c r="T2" i="2" s="1" a="1"/>
  <c r="T2" i="2" s="1"/>
  <c r="L24" i="2" l="1"/>
  <c r="L2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<sst xmlns="http://schemas.openxmlformats.org/spreadsheetml/2006/main" count="62" uniqueCount="58">
  <si>
    <t>N</t>
  </si>
  <si>
    <t>DAP</t>
  </si>
  <si>
    <t xml:space="preserve"> Disciplina de Inventário e Avaliação da Biodiversidade - PUCPR - Prof Rodrigo Kersten</t>
  </si>
  <si>
    <r>
      <t xml:space="preserve">Alt </t>
    </r>
    <r>
      <rPr>
        <sz val="9"/>
        <color theme="1"/>
        <rFont val="Calibri"/>
        <family val="2"/>
        <scheme val="minor"/>
      </rPr>
      <t>(m)</t>
    </r>
  </si>
  <si>
    <t>&lt;20</t>
  </si>
  <si>
    <t>100-150</t>
  </si>
  <si>
    <t>150-200</t>
  </si>
  <si>
    <t>200-300</t>
  </si>
  <si>
    <t>Gráficos de Distribuição</t>
  </si>
  <si>
    <t>PAP</t>
  </si>
  <si>
    <r>
      <t>PAP</t>
    </r>
    <r>
      <rPr>
        <sz val="12"/>
        <color theme="1"/>
        <rFont val="Calibri"/>
        <family val="2"/>
        <scheme val="minor"/>
      </rPr>
      <t xml:space="preserve"> (cm)</t>
    </r>
  </si>
  <si>
    <t>Alt</t>
  </si>
  <si>
    <t>Classes</t>
  </si>
  <si>
    <t>n</t>
  </si>
  <si>
    <t>DAP Min</t>
  </si>
  <si>
    <t>DAP Max</t>
  </si>
  <si>
    <t>PAP Min</t>
  </si>
  <si>
    <t>PAP Max</t>
  </si>
  <si>
    <t>no. Ind.</t>
  </si>
  <si>
    <t>Classes de Perímetros</t>
  </si>
  <si>
    <t>10-15</t>
  </si>
  <si>
    <t>15-20</t>
  </si>
  <si>
    <t>20-25</t>
  </si>
  <si>
    <t>25-30</t>
  </si>
  <si>
    <t>30-35</t>
  </si>
  <si>
    <t>35-40</t>
  </si>
  <si>
    <t>40-45</t>
  </si>
  <si>
    <t>45-50</t>
  </si>
  <si>
    <t>&gt;100</t>
  </si>
  <si>
    <t>50-75</t>
  </si>
  <si>
    <t>75-100</t>
  </si>
  <si>
    <t>Classes de Altura</t>
  </si>
  <si>
    <t>&lt;3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</si>
  <si>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</si>
  <si>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</si>
  <si>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</si>
  <si>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</si>
  <si>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</si>
  <si>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</si>
  <si>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</si>
  <si>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</si>
  <si>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</si>
  <si>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&gt;12</t>
  </si>
  <si>
    <t>Alt Min</t>
  </si>
  <si>
    <t>Alt Max</t>
  </si>
  <si>
    <t>&lt;10</t>
  </si>
  <si>
    <t>3</t>
  </si>
  <si>
    <t>20-29</t>
  </si>
  <si>
    <t>30-39</t>
  </si>
  <si>
    <t>40-49</t>
  </si>
  <si>
    <t>50-59</t>
  </si>
  <si>
    <t>60-69</t>
  </si>
  <si>
    <t>70-79</t>
  </si>
  <si>
    <t>80-89</t>
  </si>
  <si>
    <t>90-99</t>
  </si>
  <si>
    <r>
      <t>Colar apenas os dados de</t>
    </r>
    <r>
      <rPr>
        <sz val="12"/>
        <color rgb="FFFF0000"/>
        <rFont val="Calibri"/>
        <family val="2"/>
        <scheme val="minor"/>
      </rPr>
      <t xml:space="preserve"> </t>
    </r>
    <r>
      <rPr>
        <b/>
        <sz val="12"/>
        <color rgb="FFFF0000"/>
        <rFont val="Calibri"/>
        <family val="2"/>
        <scheme val="minor"/>
      </rPr>
      <t>PAP</t>
    </r>
    <r>
      <rPr>
        <sz val="12"/>
        <color theme="1"/>
        <rFont val="Calibri"/>
        <family val="2"/>
        <scheme val="minor"/>
      </rPr>
      <t xml:space="preserve"> e </t>
    </r>
    <r>
      <rPr>
        <b/>
        <sz val="12"/>
        <color rgb="FFFF0000"/>
        <rFont val="Calibri"/>
        <family val="2"/>
        <scheme val="minor"/>
      </rPr>
      <t>Altura</t>
    </r>
    <r>
      <rPr>
        <sz val="12"/>
        <color theme="1"/>
        <rFont val="Calibri"/>
        <family val="2"/>
        <scheme val="minor"/>
      </rPr>
      <t xml:space="preserve"> nas Colunas correspondentes 
</t>
    </r>
    <r>
      <rPr>
        <b/>
        <sz val="12"/>
        <color theme="1"/>
        <rFont val="Calibri"/>
        <family val="2"/>
        <scheme val="minor"/>
      </rPr>
      <t>- Até 500 indivíduos -</t>
    </r>
    <r>
      <rPr>
        <sz val="12"/>
        <color theme="1"/>
        <rFont val="Calibri"/>
        <family val="2"/>
        <scheme val="minor"/>
      </rPr>
      <t xml:space="preserve"> </t>
    </r>
  </si>
  <si>
    <t>1- APAGAR OS DADOS EXISTENTES</t>
  </si>
  <si>
    <t>2- COLAR  SOMENTE 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</si>
</sst>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11"/>
      <color theme="2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6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1">
    <xf numFmtId="0" fontId="0" fillId="0" borderId="0" xfId="0"/>
    <xf numFmtId="0" fontId="0" fillId="2" borderId="0" xfId="0" applyFill="1"/>
    <xf numFmtId="0" fontId="1" fillId="2" borderId="0" xfId="0" applyFont="1" applyFill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0" fontId="7" fillId="3" borderId="0" xfId="0" applyFont="1" applyFill="1"/>
    <xf numFmtId="0" fontId="0" fillId="4" borderId="0" xfId="0" applyFill="1" applyProtection="1">
      <protection locked="0"/>
    </xf>
    <xf numFmtId="0" fontId="3" fillId="3" borderId="0" xfId="0" applyFont="1" applyFill="1"/>
    <xf numFmtId="0" fontId="8" fillId="2" borderId="0" xfId="0" applyFont="1" applyFill="1"/>
    <xf numFmtId="1" fontId="0" fillId="2" borderId="0" xfId="0" applyNumberFormat="1" applyFill="1" applyAlignment="1">
      <alignment horizontal="center"/>
    </xf>
    <xf numFmtId="0" fontId="0" fillId="3" borderId="0" xfId="0" applyFill="1"/>
    <xf numFmtId="0" fontId="4" fillId="2" borderId="0" xfId="0" applyFont="1" applyFill="1" applyAlignment="1" applyProtection="1">
      <alignment horizontal="center"/>
      <protection locked="0"/>
    </xf>
    <xf numFmtId="0" fontId="0" fillId="2" borderId="1" xfId="0" applyFill="1" applyBorder="1"/>
    <xf numFmtId="165" fontId="0" fillId="2" borderId="0" xfId="0" applyNumberFormat="1" applyFill="1"/>
    <xf numFmtId="0" fontId="12" fillId="2" borderId="0" xfId="0" applyFont="1" applyFill="1" applyProtection="1">
      <protection locked="0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8" fillId="3" borderId="0" xfId="0" applyFont="1" applyFill="1"/>
    <xf numFmtId="49" fontId="7" fillId="3" borderId="0" xfId="0" applyNumberFormat="1" applyFont="1" applyFill="1"/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" fillId="2" borderId="0" xfId="0" applyFont="1" applyFill="1" applyBorder="1"/>
    <xf numFmtId="0" fontId="8" fillId="2" borderId="0" xfId="0" applyFont="1" applyFill="1" applyBorder="1"/>
    <xf numFmtId="0" fontId="0" fillId="2" borderId="0" xfId="0" applyFill="1" applyBorder="1"/>
    <xf numFmtId="0" fontId="0" fillId="0" borderId="0" xfId="0" applyBorder="1"/>
    <xf numFmtId="0" fontId="10" fillId="2" borderId="0" xfId="0" applyFont="1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165" fontId="11" fillId="0" borderId="2" xfId="1" applyNumberFormat="1" applyFont="1" applyBorder="1" applyAlignment="1" applyProtection="1">
      <alignment horizontal="center"/>
      <protection locked="0"/>
    </xf>
    <xf numFmtId="0" fontId="0" fillId="0" borderId="4" xfId="0" applyBorder="1" applyAlignment="1">
      <alignment horizontal="center"/>
    </xf>
    <xf numFmtId="165" fontId="11" fillId="0" borderId="5" xfId="1" applyNumberFormat="1" applyFont="1" applyBorder="1" applyAlignment="1" applyProtection="1">
      <alignment horizontal="center"/>
      <protection locked="0"/>
    </xf>
    <xf numFmtId="0" fontId="0" fillId="0" borderId="6" xfId="0" applyBorder="1" applyAlignment="1">
      <alignment horizontal="center"/>
    </xf>
    <xf numFmtId="165" fontId="10" fillId="0" borderId="5" xfId="0" applyNumberFormat="1" applyFont="1" applyBorder="1" applyAlignment="1" applyProtection="1">
      <alignment horizontal="center"/>
      <protection locked="0"/>
    </xf>
    <xf numFmtId="165" fontId="10" fillId="2" borderId="5" xfId="0" applyNumberFormat="1" applyFont="1" applyFill="1" applyBorder="1" applyAlignment="1" applyProtection="1">
      <alignment horizontal="center"/>
      <protection locked="0"/>
    </xf>
    <xf numFmtId="165" fontId="10" fillId="0" borderId="7" xfId="0" applyNumberFormat="1" applyFont="1" applyBorder="1" applyAlignment="1" applyProtection="1">
      <alignment horizontal="center"/>
      <protection locked="0"/>
    </xf>
    <xf numFmtId="0" fontId="0" fillId="0" borderId="9" xfId="0" applyBorder="1" applyAlignment="1">
      <alignment horizontal="center"/>
    </xf>
    <xf numFmtId="2" fontId="3" fillId="3" borderId="0" xfId="0" applyNumberFormat="1" applyFont="1" applyFill="1"/>
    <xf numFmtId="0" fontId="0" fillId="4" borderId="2" xfId="0" applyFill="1" applyBorder="1"/>
    <xf numFmtId="165" fontId="3" fillId="4" borderId="4" xfId="0" applyNumberFormat="1" applyFont="1" applyFill="1" applyBorder="1"/>
    <xf numFmtId="0" fontId="0" fillId="4" borderId="7" xfId="0" applyFill="1" applyBorder="1"/>
    <xf numFmtId="165" fontId="3" fillId="4" borderId="9" xfId="0" applyNumberFormat="1" applyFont="1" applyFill="1" applyBorder="1"/>
    <xf numFmtId="49" fontId="7" fillId="3" borderId="0" xfId="0" applyNumberFormat="1" applyFont="1" applyFill="1" applyAlignment="1">
      <alignment horizontal="left"/>
    </xf>
    <xf numFmtId="0" fontId="7" fillId="3" borderId="0" xfId="0" applyNumberFormat="1" applyFont="1" applyFill="1"/>
    <xf numFmtId="0" fontId="13" fillId="3" borderId="0" xfId="0" applyFont="1" applyFill="1"/>
    <xf numFmtId="0" fontId="8" fillId="2" borderId="12" xfId="0" applyFont="1" applyFill="1" applyBorder="1"/>
    <xf numFmtId="0" fontId="0" fillId="2" borderId="13" xfId="0" applyFill="1" applyBorder="1"/>
    <xf numFmtId="164" fontId="16" fillId="3" borderId="11" xfId="0" applyNumberFormat="1" applyFont="1" applyFill="1" applyBorder="1" applyAlignment="1">
      <alignment horizontal="center"/>
    </xf>
    <xf numFmtId="164" fontId="16" fillId="3" borderId="10" xfId="0" applyNumberFormat="1" applyFont="1" applyFill="1" applyBorder="1" applyAlignment="1">
      <alignment horizontal="center"/>
    </xf>
    <xf numFmtId="0" fontId="16" fillId="3" borderId="11" xfId="0" applyFont="1" applyFill="1" applyBorder="1" applyAlignment="1">
      <alignment horizontal="center"/>
    </xf>
    <xf numFmtId="0" fontId="16" fillId="3" borderId="10" xfId="0" applyFont="1" applyFill="1" applyBorder="1" applyAlignment="1">
      <alignment horizontal="center"/>
    </xf>
  </cellXfs>
  <cellStyles count="2">
    <cellStyle name="Excel Built-in Normal" xfId="1" xr:uid="{DFC63D33-3981-486C-A5D8-E4FD96E336F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</a:t>
            </a:r>
            <a:r>
              <a:rPr lang="pt-BR" baseline="0"/>
              <a:t> de Diâmetros das Árvores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'Gráfico DAP'!$U$2:$U$13</c:f>
              <c:strCache>
                <c:ptCount val="12"/>
                <c:pt idx="0">
                  <c:v>&lt;10</c:v>
                </c:pt>
                <c:pt idx="1">
                  <c:v>10-15</c:v>
                </c:pt>
                <c:pt idx="2">
                  <c:v>15-20</c:v>
                </c:pt>
                <c:pt idx="3">
                  <c:v>20-25</c:v>
                </c:pt>
                <c:pt idx="4">
                  <c:v>25-30</c:v>
                </c:pt>
                <c:pt idx="5">
                  <c:v>30-35</c:v>
                </c:pt>
                <c:pt idx="6">
                  <c:v>35-40</c:v>
                </c:pt>
                <c:pt idx="7">
                  <c:v>40-45</c:v>
                </c:pt>
                <c:pt idx="8">
                  <c:v>45-50</c:v>
                </c:pt>
                <c:pt idx="9">
                  <c:v>50-75</c:v>
                </c:pt>
                <c:pt idx="10">
                  <c:v>75-100</c:v>
                </c:pt>
                <c:pt idx="11">
                  <c:v>&gt;100</c:v>
                </c:pt>
              </c:strCache>
            </c:strRef>
          </c:cat>
          <c:val>
            <c:numRef>
              <c:f>'Gráfico DAP'!$T$2:$T$13</c:f>
              <c:numCache>
                <c:formatCode>General</c:formatCode>
                <c:ptCount val="12"/>
                <c:pt idx="0">
                  <c:v>182</c:v>
                </c:pt>
                <c:pt idx="1">
                  <c:v>90</c:v>
                </c:pt>
                <c:pt idx="2">
                  <c:v>70</c:v>
                </c:pt>
                <c:pt idx="3">
                  <c:v>58</c:v>
                </c:pt>
                <c:pt idx="4">
                  <c:v>41</c:v>
                </c:pt>
                <c:pt idx="5">
                  <c:v>26</c:v>
                </c:pt>
                <c:pt idx="6">
                  <c:v>16</c:v>
                </c:pt>
                <c:pt idx="7">
                  <c:v>7</c:v>
                </c:pt>
                <c:pt idx="8">
                  <c:v>4</c:v>
                </c:pt>
                <c:pt idx="9">
                  <c:v>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26-42E2-A5D9-AA3AA0999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624354239"/>
        <c:axId val="1526543071"/>
      </c:barChart>
      <c:catAx>
        <c:axId val="1624354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Diâmetro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6543071"/>
        <c:crosses val="autoZero"/>
        <c:auto val="1"/>
        <c:lblAlgn val="ctr"/>
        <c:lblOffset val="100"/>
        <c:noMultiLvlLbl val="0"/>
      </c:catAx>
      <c:valAx>
        <c:axId val="152654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Número de</a:t>
                </a:r>
                <a:r>
                  <a:rPr lang="pt-BR" baseline="0"/>
                  <a:t> Indivíduos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435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 de Alturas</a:t>
            </a:r>
            <a:r>
              <a:rPr lang="pt-BR" baseline="0"/>
              <a:t> das Árvores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8481356249488131E-2"/>
          <c:y val="0.17761078998073218"/>
          <c:w val="0.85532636800786233"/>
          <c:h val="0.685960280976438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'Gráfico Alturas'!$U$2:$U$13</c:f>
              <c:strCache>
                <c:ptCount val="12"/>
                <c:pt idx="0">
                  <c:v>&lt;3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&gt;12</c:v>
                </c:pt>
              </c:strCache>
            </c:strRef>
          </c:cat>
          <c:val>
            <c:numRef>
              <c:f>'Gráfico Alturas'!$T$2:$T$13</c:f>
              <c:numCache>
                <c:formatCode>General</c:formatCode>
                <c:ptCount val="12"/>
                <c:pt idx="0">
                  <c:v>14</c:v>
                </c:pt>
                <c:pt idx="1">
                  <c:v>17</c:v>
                </c:pt>
                <c:pt idx="2">
                  <c:v>42</c:v>
                </c:pt>
                <c:pt idx="3">
                  <c:v>56</c:v>
                </c:pt>
                <c:pt idx="4">
                  <c:v>56</c:v>
                </c:pt>
                <c:pt idx="5">
                  <c:v>72</c:v>
                </c:pt>
                <c:pt idx="6">
                  <c:v>71</c:v>
                </c:pt>
                <c:pt idx="7">
                  <c:v>55</c:v>
                </c:pt>
                <c:pt idx="8">
                  <c:v>55</c:v>
                </c:pt>
                <c:pt idx="9">
                  <c:v>28</c:v>
                </c:pt>
                <c:pt idx="10">
                  <c:v>19</c:v>
                </c:pt>
                <c:pt idx="1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41-43F1-8813-EA5AE5036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837883999"/>
        <c:axId val="837871039"/>
      </c:barChart>
      <c:catAx>
        <c:axId val="837883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Alturas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7871039"/>
        <c:crosses val="autoZero"/>
        <c:auto val="1"/>
        <c:lblAlgn val="ctr"/>
        <c:lblOffset val="100"/>
        <c:noMultiLvlLbl val="0"/>
      </c:catAx>
      <c:valAx>
        <c:axId val="8378710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Número de Indivíduos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78839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</a:t>
            </a:r>
            <a:r>
              <a:rPr lang="pt-BR" baseline="0"/>
              <a:t> de Perímetros das Árvores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PAP'!$T$1</c:f>
              <c:strCache>
                <c:ptCount val="1"/>
                <c:pt idx="0">
                  <c:v>no. Ind.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'Gráfico PAP'!$U$2:$U$13</c:f>
              <c:strCache>
                <c:ptCount val="12"/>
                <c:pt idx="0">
                  <c:v>&lt;20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80-89</c:v>
                </c:pt>
                <c:pt idx="8">
                  <c:v>90-99</c:v>
                </c:pt>
                <c:pt idx="9">
                  <c:v>100-150</c:v>
                </c:pt>
                <c:pt idx="10">
                  <c:v>150-200</c:v>
                </c:pt>
                <c:pt idx="11">
                  <c:v>200-300</c:v>
                </c:pt>
              </c:strCache>
            </c:strRef>
          </c:cat>
          <c:val>
            <c:numRef>
              <c:f>'Gráfico PAP'!$T$2:$T$13</c:f>
              <c:numCache>
                <c:formatCode>General</c:formatCode>
                <c:ptCount val="12"/>
                <c:pt idx="0">
                  <c:v>56</c:v>
                </c:pt>
                <c:pt idx="1">
                  <c:v>113</c:v>
                </c:pt>
                <c:pt idx="2">
                  <c:v>68</c:v>
                </c:pt>
                <c:pt idx="3">
                  <c:v>47</c:v>
                </c:pt>
                <c:pt idx="4">
                  <c:v>50</c:v>
                </c:pt>
                <c:pt idx="5">
                  <c:v>42</c:v>
                </c:pt>
                <c:pt idx="6">
                  <c:v>27</c:v>
                </c:pt>
                <c:pt idx="7">
                  <c:v>32</c:v>
                </c:pt>
                <c:pt idx="8">
                  <c:v>20</c:v>
                </c:pt>
                <c:pt idx="9">
                  <c:v>39</c:v>
                </c:pt>
                <c:pt idx="10">
                  <c:v>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2-4ED5-A8B1-4701084E1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050568080"/>
        <c:axId val="1050568560"/>
      </c:barChart>
      <c:catAx>
        <c:axId val="1050568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Classes</a:t>
                </a:r>
                <a:r>
                  <a:rPr lang="pt-BR" baseline="0"/>
                  <a:t> de Perímetro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0568560"/>
        <c:crosses val="autoZero"/>
        <c:auto val="0"/>
        <c:lblAlgn val="ctr"/>
        <c:lblOffset val="100"/>
        <c:noMultiLvlLbl val="0"/>
      </c:catAx>
      <c:valAx>
        <c:axId val="105056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No. de Indivíduos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056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129539</xdr:colOff>
      <xdr:row>0</xdr:row>
      <xdr:rowOff>38100</xdr:rowOff>
    </xdr:from>
    <xdr:to>
      <xdr:col>2</xdr:col>
      <xdr:colOff>521380</xdr:colOff>
      <xdr:row>1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25C78F4-DA56-4E35-B77D-CE927558A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8879" y="38100"/>
          <a:ext cx="391841" cy="441960"/>
        </a:xfrm>
        <a:prstGeom prst="rect">
          <a:avLst/>
        </a:prstGeom>
      </xdr:spPr>
    </xdr:pic>
    <xdr:clientData/>
  </xdr:twoCellAnchor>
  <xdr:twoCellAnchor editAs="oneCell">
    <xdr:from>
      <xdr:col>5</xdr:col>
      <xdr:colOff>510539</xdr:colOff>
      <xdr:row>17</xdr:row>
      <xdr:rowOff>68580</xdr:rowOff>
    </xdr:from>
    <xdr:to>
      <xdr:col>6</xdr:col>
      <xdr:colOff>121920</xdr:colOff>
      <xdr:row>18</xdr:row>
      <xdr:rowOff>110207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9A01D09-B28A-2256-68C9-3FB6619BAD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2432" t="17765" r="15135" b="12111"/>
        <a:stretch>
          <a:fillRect/>
        </a:stretch>
      </xdr:blipFill>
      <xdr:spPr>
        <a:xfrm>
          <a:off x="4678679" y="3558540"/>
          <a:ext cx="220981" cy="2473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</xdr:colOff>
      <xdr:row>1</xdr:row>
      <xdr:rowOff>179070</xdr:rowOff>
    </xdr:from>
    <xdr:to>
      <xdr:col>10</xdr:col>
      <xdr:colOff>20280</xdr:colOff>
      <xdr:row>21</xdr:row>
      <xdr:rowOff>106230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DEE3F2-5E42-6149-F066-AFB948A00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</xdr:colOff>
      <xdr:row>2</xdr:row>
      <xdr:rowOff>64770</xdr:rowOff>
    </xdr:from>
    <xdr:to>
      <xdr:col>9</xdr:col>
      <xdr:colOff>568920</xdr:colOff>
      <xdr:row>21</xdr:row>
      <xdr:rowOff>174810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013301-FD51-5637-C820-381DCD5BC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274320</xdr:colOff>
      <xdr:row>1</xdr:row>
      <xdr:rowOff>140970</xdr:rowOff>
    </xdr:from>
    <xdr:to>
      <xdr:col>10</xdr:col>
      <xdr:colOff>187920</xdr:colOff>
      <xdr:row>21</xdr:row>
      <xdr:rowOff>75750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7E52DE8-6B2B-0BC3-AD10-7067C33F61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6EAFD-3745-4713-8FCB-7EB17665D127}">
  <dimension ref="A1:V626"/>
  <sheetViews>
    <sheetView tabSelected="1" zoomScaleNormal="100" workbookViewId="0">
      <pane ySplit="2" topLeftCell="A3" activePane="bottomLeft" state="frozen"/>
      <selection pane="bottomLeft" activeCell="E4" sqref="E4:I11"/>
    </sheetView>
  </sheetViews>
  <sheetFormatPr defaultRowHeight="15.6" x14ac:dyDescent="0.3"/>
  <cols>
    <col min="1" max="1" width="15.44140625" style="37" customWidth="1"/>
    <col min="2" max="2" width="18.6640625" style="38" customWidth="1"/>
    <col min="3" max="3" width="8.88671875" style="5"/>
    <col min="4" max="4" width="8.88671875" style="10"/>
    <col min="5" max="22" width="8.88671875" style="1"/>
  </cols>
  <sheetData>
    <row r="1" spans="1:14" s="6" customFormat="1" ht="25.8" customHeight="1" x14ac:dyDescent="0.4">
      <c r="A1" s="16" t="s">
        <v>8</v>
      </c>
      <c r="B1" s="13"/>
      <c r="D1" s="17" t="s">
        <v>2</v>
      </c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s="4" customFormat="1" ht="13.8" customHeight="1" thickBot="1" x14ac:dyDescent="0.35">
      <c r="A2" s="13" t="s">
        <v>10</v>
      </c>
      <c r="B2" s="2" t="s">
        <v>3</v>
      </c>
      <c r="C2" s="18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ht="16.2" thickBot="1" x14ac:dyDescent="0.35">
      <c r="A3" s="39">
        <v>19.600000000000001</v>
      </c>
      <c r="B3" s="40">
        <v>4.5</v>
      </c>
    </row>
    <row r="4" spans="1:14" x14ac:dyDescent="0.3">
      <c r="A4" s="41">
        <v>22.1</v>
      </c>
      <c r="B4" s="42">
        <v>4.5</v>
      </c>
      <c r="E4" s="20" t="s">
        <v>55</v>
      </c>
      <c r="F4" s="21"/>
      <c r="G4" s="21"/>
      <c r="H4" s="21"/>
      <c r="I4" s="22"/>
    </row>
    <row r="5" spans="1:14" x14ac:dyDescent="0.3">
      <c r="A5" s="41">
        <v>18.100000000000001</v>
      </c>
      <c r="B5" s="42">
        <v>4.5</v>
      </c>
      <c r="E5" s="23"/>
      <c r="F5" s="24"/>
      <c r="G5" s="24"/>
      <c r="H5" s="24"/>
      <c r="I5" s="25"/>
    </row>
    <row r="6" spans="1:14" x14ac:dyDescent="0.3">
      <c r="A6" s="41">
        <v>23.4</v>
      </c>
      <c r="B6" s="42">
        <v>5</v>
      </c>
      <c r="E6" s="23"/>
      <c r="F6" s="24"/>
      <c r="G6" s="24"/>
      <c r="H6" s="24"/>
      <c r="I6" s="25"/>
    </row>
    <row r="7" spans="1:14" x14ac:dyDescent="0.3">
      <c r="A7" s="41">
        <v>27</v>
      </c>
      <c r="B7" s="42">
        <v>6</v>
      </c>
      <c r="E7" s="23"/>
      <c r="F7" s="24"/>
      <c r="G7" s="24"/>
      <c r="H7" s="24"/>
      <c r="I7" s="25"/>
    </row>
    <row r="8" spans="1:14" x14ac:dyDescent="0.3">
      <c r="A8" s="41">
        <v>29.8</v>
      </c>
      <c r="B8" s="42">
        <v>4</v>
      </c>
      <c r="E8" s="23"/>
      <c r="F8" s="24"/>
      <c r="G8" s="24"/>
      <c r="H8" s="24"/>
      <c r="I8" s="25"/>
    </row>
    <row r="9" spans="1:14" x14ac:dyDescent="0.3">
      <c r="A9" s="41">
        <v>56.4</v>
      </c>
      <c r="B9" s="42">
        <v>6</v>
      </c>
      <c r="E9" s="23"/>
      <c r="F9" s="24"/>
      <c r="G9" s="24"/>
      <c r="H9" s="24"/>
      <c r="I9" s="25"/>
    </row>
    <row r="10" spans="1:14" x14ac:dyDescent="0.3">
      <c r="A10" s="41">
        <v>28.7</v>
      </c>
      <c r="B10" s="42">
        <v>5</v>
      </c>
      <c r="E10" s="23"/>
      <c r="F10" s="24"/>
      <c r="G10" s="24"/>
      <c r="H10" s="24"/>
      <c r="I10" s="25"/>
    </row>
    <row r="11" spans="1:14" ht="16.2" thickBot="1" x14ac:dyDescent="0.35">
      <c r="A11" s="41">
        <v>16.600000000000001</v>
      </c>
      <c r="B11" s="42">
        <v>4</v>
      </c>
      <c r="E11" s="26"/>
      <c r="F11" s="27"/>
      <c r="G11" s="27"/>
      <c r="H11" s="27"/>
      <c r="I11" s="28"/>
    </row>
    <row r="12" spans="1:14" x14ac:dyDescent="0.3">
      <c r="A12" s="41">
        <v>22</v>
      </c>
      <c r="B12" s="42">
        <v>4</v>
      </c>
      <c r="E12" s="11"/>
    </row>
    <row r="13" spans="1:14" x14ac:dyDescent="0.3">
      <c r="A13" s="41">
        <v>45</v>
      </c>
      <c r="B13" s="42">
        <v>6</v>
      </c>
      <c r="E13" s="4"/>
    </row>
    <row r="14" spans="1:14" x14ac:dyDescent="0.3">
      <c r="A14" s="41">
        <v>52</v>
      </c>
      <c r="B14" s="42">
        <v>5</v>
      </c>
      <c r="E14" s="14"/>
      <c r="F14" s="14"/>
      <c r="G14" s="14"/>
      <c r="H14" s="14"/>
    </row>
    <row r="15" spans="1:14" ht="16.2" thickBot="1" x14ac:dyDescent="0.35">
      <c r="A15" s="41">
        <v>21.5</v>
      </c>
      <c r="B15" s="42">
        <v>3</v>
      </c>
      <c r="D15" s="55"/>
      <c r="E15" s="57" t="s">
        <v>56</v>
      </c>
      <c r="F15" s="57"/>
      <c r="G15" s="57"/>
      <c r="H15" s="58"/>
    </row>
    <row r="16" spans="1:14" ht="16.2" thickTop="1" x14ac:dyDescent="0.3">
      <c r="A16" s="41">
        <v>46.5</v>
      </c>
      <c r="B16" s="42">
        <v>8</v>
      </c>
      <c r="E16" s="56"/>
      <c r="F16" s="56"/>
      <c r="G16" s="56"/>
      <c r="H16" s="56"/>
    </row>
    <row r="17" spans="1:8" ht="16.2" thickBot="1" x14ac:dyDescent="0.35">
      <c r="A17" s="41">
        <v>149.5</v>
      </c>
      <c r="B17" s="42">
        <v>10</v>
      </c>
      <c r="D17" s="55"/>
      <c r="E17" s="59" t="s">
        <v>57</v>
      </c>
      <c r="F17" s="59"/>
      <c r="G17" s="59"/>
      <c r="H17" s="60"/>
    </row>
    <row r="18" spans="1:8" ht="16.2" thickTop="1" x14ac:dyDescent="0.3">
      <c r="A18" s="41">
        <v>53.1</v>
      </c>
      <c r="B18" s="42">
        <v>8</v>
      </c>
    </row>
    <row r="19" spans="1:8" x14ac:dyDescent="0.3">
      <c r="A19" s="41">
        <v>96.4</v>
      </c>
      <c r="B19" s="42">
        <v>9</v>
      </c>
      <c r="F19" s="4"/>
    </row>
    <row r="20" spans="1:8" x14ac:dyDescent="0.3">
      <c r="A20" s="41">
        <v>69</v>
      </c>
      <c r="B20" s="42">
        <v>8</v>
      </c>
      <c r="F20" s="11"/>
    </row>
    <row r="21" spans="1:8" x14ac:dyDescent="0.3">
      <c r="A21" s="41">
        <v>24</v>
      </c>
      <c r="B21" s="42">
        <v>7</v>
      </c>
    </row>
    <row r="22" spans="1:8" x14ac:dyDescent="0.3">
      <c r="A22" s="41">
        <v>56.8</v>
      </c>
      <c r="B22" s="42">
        <v>7</v>
      </c>
    </row>
    <row r="23" spans="1:8" x14ac:dyDescent="0.3">
      <c r="A23" s="41">
        <v>36.799999999999997</v>
      </c>
      <c r="B23" s="42">
        <v>7</v>
      </c>
    </row>
    <row r="24" spans="1:8" x14ac:dyDescent="0.3">
      <c r="A24" s="41">
        <v>23.2</v>
      </c>
      <c r="B24" s="42">
        <v>5</v>
      </c>
    </row>
    <row r="25" spans="1:8" x14ac:dyDescent="0.3">
      <c r="A25" s="41">
        <v>18.5</v>
      </c>
      <c r="B25" s="42">
        <v>5</v>
      </c>
    </row>
    <row r="26" spans="1:8" x14ac:dyDescent="0.3">
      <c r="A26" s="41">
        <v>18</v>
      </c>
      <c r="B26" s="42">
        <v>3</v>
      </c>
    </row>
    <row r="27" spans="1:8" x14ac:dyDescent="0.3">
      <c r="A27" s="41">
        <v>17.2</v>
      </c>
      <c r="B27" s="42">
        <v>3.5</v>
      </c>
    </row>
    <row r="28" spans="1:8" x14ac:dyDescent="0.3">
      <c r="A28" s="41">
        <v>19.600000000000001</v>
      </c>
      <c r="B28" s="42">
        <v>4</v>
      </c>
    </row>
    <row r="29" spans="1:8" x14ac:dyDescent="0.3">
      <c r="A29" s="41">
        <v>18</v>
      </c>
      <c r="B29" s="42">
        <v>4</v>
      </c>
      <c r="E29" s="15"/>
    </row>
    <row r="30" spans="1:8" x14ac:dyDescent="0.3">
      <c r="A30" s="41">
        <v>52</v>
      </c>
      <c r="B30" s="42">
        <v>6</v>
      </c>
    </row>
    <row r="31" spans="1:8" x14ac:dyDescent="0.3">
      <c r="A31" s="41">
        <v>29</v>
      </c>
      <c r="B31" s="42">
        <v>6</v>
      </c>
    </row>
    <row r="32" spans="1:8" x14ac:dyDescent="0.3">
      <c r="A32" s="41">
        <v>46.5</v>
      </c>
      <c r="B32" s="42">
        <v>8</v>
      </c>
    </row>
    <row r="33" spans="1:5" x14ac:dyDescent="0.3">
      <c r="A33" s="43">
        <v>50.2</v>
      </c>
      <c r="B33" s="42">
        <v>8</v>
      </c>
    </row>
    <row r="34" spans="1:5" x14ac:dyDescent="0.3">
      <c r="A34" s="43">
        <v>39.5</v>
      </c>
      <c r="B34" s="42">
        <v>8</v>
      </c>
      <c r="E34" s="15"/>
    </row>
    <row r="35" spans="1:5" x14ac:dyDescent="0.3">
      <c r="A35" s="43">
        <v>65.2</v>
      </c>
      <c r="B35" s="42">
        <v>9</v>
      </c>
      <c r="E35" s="15"/>
    </row>
    <row r="36" spans="1:5" x14ac:dyDescent="0.3">
      <c r="A36" s="43">
        <v>85.2</v>
      </c>
      <c r="B36" s="42">
        <v>10</v>
      </c>
      <c r="E36" s="15"/>
    </row>
    <row r="37" spans="1:5" x14ac:dyDescent="0.3">
      <c r="A37" s="43">
        <v>64.2</v>
      </c>
      <c r="B37" s="42">
        <v>8</v>
      </c>
      <c r="E37" s="15"/>
    </row>
    <row r="38" spans="1:5" x14ac:dyDescent="0.3">
      <c r="A38" s="43">
        <v>85.2</v>
      </c>
      <c r="B38" s="42">
        <v>9</v>
      </c>
    </row>
    <row r="39" spans="1:5" x14ac:dyDescent="0.3">
      <c r="A39" s="43">
        <v>55.1</v>
      </c>
      <c r="B39" s="42">
        <v>10</v>
      </c>
      <c r="E39" s="15"/>
    </row>
    <row r="40" spans="1:5" x14ac:dyDescent="0.3">
      <c r="A40" s="43">
        <v>77.5</v>
      </c>
      <c r="B40" s="42">
        <v>9.5</v>
      </c>
    </row>
    <row r="41" spans="1:5" x14ac:dyDescent="0.3">
      <c r="A41" s="43">
        <v>60</v>
      </c>
      <c r="B41" s="42">
        <v>9</v>
      </c>
    </row>
    <row r="42" spans="1:5" x14ac:dyDescent="0.3">
      <c r="A42" s="43">
        <v>76.5</v>
      </c>
      <c r="B42" s="42">
        <v>9</v>
      </c>
    </row>
    <row r="43" spans="1:5" x14ac:dyDescent="0.3">
      <c r="A43" s="43">
        <v>71.7</v>
      </c>
      <c r="B43" s="42">
        <v>10</v>
      </c>
    </row>
    <row r="44" spans="1:5" x14ac:dyDescent="0.3">
      <c r="A44" s="43">
        <v>92.5</v>
      </c>
      <c r="B44" s="42">
        <v>8.5</v>
      </c>
    </row>
    <row r="45" spans="1:5" x14ac:dyDescent="0.3">
      <c r="A45" s="43">
        <v>112.5</v>
      </c>
      <c r="B45" s="42">
        <v>11</v>
      </c>
    </row>
    <row r="46" spans="1:5" x14ac:dyDescent="0.3">
      <c r="A46" s="43">
        <v>59</v>
      </c>
      <c r="B46" s="42">
        <v>13</v>
      </c>
    </row>
    <row r="47" spans="1:5" x14ac:dyDescent="0.3">
      <c r="A47" s="43">
        <v>25.5</v>
      </c>
      <c r="B47" s="42">
        <v>7</v>
      </c>
    </row>
    <row r="48" spans="1:5" x14ac:dyDescent="0.3">
      <c r="A48" s="43">
        <v>26.1</v>
      </c>
      <c r="B48" s="42">
        <v>7</v>
      </c>
    </row>
    <row r="49" spans="1:2" x14ac:dyDescent="0.3">
      <c r="A49" s="43">
        <v>108.6</v>
      </c>
      <c r="B49" s="42">
        <v>7</v>
      </c>
    </row>
    <row r="50" spans="1:2" x14ac:dyDescent="0.3">
      <c r="A50" s="43">
        <v>72</v>
      </c>
      <c r="B50" s="42">
        <v>7.5</v>
      </c>
    </row>
    <row r="51" spans="1:2" x14ac:dyDescent="0.3">
      <c r="A51" s="43">
        <v>26.8</v>
      </c>
      <c r="B51" s="42">
        <v>7</v>
      </c>
    </row>
    <row r="52" spans="1:2" x14ac:dyDescent="0.3">
      <c r="A52" s="43">
        <v>49</v>
      </c>
      <c r="B52" s="42">
        <v>7</v>
      </c>
    </row>
    <row r="53" spans="1:2" x14ac:dyDescent="0.3">
      <c r="A53" s="43">
        <v>36.200000000000003</v>
      </c>
      <c r="B53" s="42">
        <v>7</v>
      </c>
    </row>
    <row r="54" spans="1:2" x14ac:dyDescent="0.3">
      <c r="A54" s="43">
        <v>49.4</v>
      </c>
      <c r="B54" s="42">
        <v>7</v>
      </c>
    </row>
    <row r="55" spans="1:2" x14ac:dyDescent="0.3">
      <c r="A55" s="43">
        <v>17.600000000000001</v>
      </c>
      <c r="B55" s="42">
        <v>5</v>
      </c>
    </row>
    <row r="56" spans="1:2" x14ac:dyDescent="0.3">
      <c r="A56" s="43">
        <v>53</v>
      </c>
      <c r="B56" s="42">
        <v>5.5</v>
      </c>
    </row>
    <row r="57" spans="1:2" x14ac:dyDescent="0.3">
      <c r="A57" s="43">
        <v>71.3</v>
      </c>
      <c r="B57" s="42">
        <v>6</v>
      </c>
    </row>
    <row r="58" spans="1:2" x14ac:dyDescent="0.3">
      <c r="A58" s="43">
        <v>20</v>
      </c>
      <c r="B58" s="42">
        <v>5</v>
      </c>
    </row>
    <row r="59" spans="1:2" x14ac:dyDescent="0.3">
      <c r="A59" s="43">
        <v>36.200000000000003</v>
      </c>
      <c r="B59" s="42">
        <v>8</v>
      </c>
    </row>
    <row r="60" spans="1:2" x14ac:dyDescent="0.3">
      <c r="A60" s="43">
        <v>41.9</v>
      </c>
      <c r="B60" s="42">
        <v>10</v>
      </c>
    </row>
    <row r="61" spans="1:2" x14ac:dyDescent="0.3">
      <c r="A61" s="43">
        <v>86.2</v>
      </c>
      <c r="B61" s="42">
        <v>8</v>
      </c>
    </row>
    <row r="62" spans="1:2" x14ac:dyDescent="0.3">
      <c r="A62" s="43">
        <v>81.5</v>
      </c>
      <c r="B62" s="42">
        <v>9</v>
      </c>
    </row>
    <row r="63" spans="1:2" x14ac:dyDescent="0.3">
      <c r="A63" s="43">
        <v>69</v>
      </c>
      <c r="B63" s="42">
        <v>9</v>
      </c>
    </row>
    <row r="64" spans="1:2" x14ac:dyDescent="0.3">
      <c r="A64" s="43">
        <v>56</v>
      </c>
      <c r="B64" s="42">
        <v>8.5</v>
      </c>
    </row>
    <row r="65" spans="1:2" x14ac:dyDescent="0.3">
      <c r="A65" s="43">
        <v>93.1</v>
      </c>
      <c r="B65" s="42">
        <v>9</v>
      </c>
    </row>
    <row r="66" spans="1:2" x14ac:dyDescent="0.3">
      <c r="A66" s="43">
        <v>23</v>
      </c>
      <c r="B66" s="42">
        <v>8</v>
      </c>
    </row>
    <row r="67" spans="1:2" x14ac:dyDescent="0.3">
      <c r="A67" s="43">
        <v>106.8</v>
      </c>
      <c r="B67" s="42">
        <v>10</v>
      </c>
    </row>
    <row r="68" spans="1:2" x14ac:dyDescent="0.3">
      <c r="A68" s="43">
        <v>42</v>
      </c>
      <c r="B68" s="42">
        <v>7.5</v>
      </c>
    </row>
    <row r="69" spans="1:2" x14ac:dyDescent="0.3">
      <c r="A69" s="43">
        <v>36.5</v>
      </c>
      <c r="B69" s="42">
        <v>7.5</v>
      </c>
    </row>
    <row r="70" spans="1:2" x14ac:dyDescent="0.3">
      <c r="A70" s="43">
        <v>50.5</v>
      </c>
      <c r="B70" s="42">
        <v>7</v>
      </c>
    </row>
    <row r="71" spans="1:2" x14ac:dyDescent="0.3">
      <c r="A71" s="43">
        <v>69.7</v>
      </c>
      <c r="B71" s="42">
        <v>7</v>
      </c>
    </row>
    <row r="72" spans="1:2" x14ac:dyDescent="0.3">
      <c r="A72" s="43">
        <v>42</v>
      </c>
      <c r="B72" s="42">
        <v>7.5</v>
      </c>
    </row>
    <row r="73" spans="1:2" x14ac:dyDescent="0.3">
      <c r="A73" s="43">
        <v>51.8</v>
      </c>
      <c r="B73" s="42">
        <v>7</v>
      </c>
    </row>
    <row r="74" spans="1:2" x14ac:dyDescent="0.3">
      <c r="A74" s="43">
        <v>18.399999999999999</v>
      </c>
      <c r="B74" s="42">
        <v>4.5</v>
      </c>
    </row>
    <row r="75" spans="1:2" x14ac:dyDescent="0.3">
      <c r="A75" s="43">
        <v>20</v>
      </c>
      <c r="B75" s="42">
        <v>5</v>
      </c>
    </row>
    <row r="76" spans="1:2" x14ac:dyDescent="0.3">
      <c r="A76" s="43">
        <v>45</v>
      </c>
      <c r="B76" s="42">
        <v>5.5</v>
      </c>
    </row>
    <row r="77" spans="1:2" x14ac:dyDescent="0.3">
      <c r="A77" s="43">
        <v>39.799999999999997</v>
      </c>
      <c r="B77" s="42">
        <v>6</v>
      </c>
    </row>
    <row r="78" spans="1:2" x14ac:dyDescent="0.3">
      <c r="A78" s="43">
        <v>67.5</v>
      </c>
      <c r="B78" s="42">
        <v>6.5</v>
      </c>
    </row>
    <row r="79" spans="1:2" x14ac:dyDescent="0.3">
      <c r="A79" s="43">
        <v>18.2</v>
      </c>
      <c r="B79" s="42">
        <v>5</v>
      </c>
    </row>
    <row r="80" spans="1:2" x14ac:dyDescent="0.3">
      <c r="A80" s="43">
        <v>24.1</v>
      </c>
      <c r="B80" s="42">
        <v>4.5</v>
      </c>
    </row>
    <row r="81" spans="1:2" x14ac:dyDescent="0.3">
      <c r="A81" s="43">
        <v>15.3</v>
      </c>
      <c r="B81" s="42">
        <v>3</v>
      </c>
    </row>
    <row r="82" spans="1:2" x14ac:dyDescent="0.3">
      <c r="A82" s="43">
        <v>20.2</v>
      </c>
      <c r="B82" s="42">
        <v>4.2</v>
      </c>
    </row>
    <row r="83" spans="1:2" x14ac:dyDescent="0.3">
      <c r="A83" s="43">
        <v>83</v>
      </c>
      <c r="B83" s="42">
        <v>8</v>
      </c>
    </row>
    <row r="84" spans="1:2" x14ac:dyDescent="0.3">
      <c r="A84" s="43">
        <v>67.3</v>
      </c>
      <c r="B84" s="42">
        <v>8.5</v>
      </c>
    </row>
    <row r="85" spans="1:2" x14ac:dyDescent="0.3">
      <c r="A85" s="43">
        <v>49</v>
      </c>
      <c r="B85" s="42">
        <v>8</v>
      </c>
    </row>
    <row r="86" spans="1:2" x14ac:dyDescent="0.3">
      <c r="A86" s="43">
        <v>44.3</v>
      </c>
      <c r="B86" s="42">
        <v>8</v>
      </c>
    </row>
    <row r="87" spans="1:2" x14ac:dyDescent="0.3">
      <c r="A87" s="43">
        <v>34.5</v>
      </c>
      <c r="B87" s="42">
        <v>8</v>
      </c>
    </row>
    <row r="88" spans="1:2" x14ac:dyDescent="0.3">
      <c r="A88" s="43">
        <v>70.3</v>
      </c>
      <c r="B88" s="42">
        <v>8</v>
      </c>
    </row>
    <row r="89" spans="1:2" x14ac:dyDescent="0.3">
      <c r="A89" s="43">
        <v>98.8</v>
      </c>
      <c r="B89" s="42">
        <v>10</v>
      </c>
    </row>
    <row r="90" spans="1:2" x14ac:dyDescent="0.3">
      <c r="A90" s="43">
        <v>110</v>
      </c>
      <c r="B90" s="42">
        <v>12</v>
      </c>
    </row>
    <row r="91" spans="1:2" x14ac:dyDescent="0.3">
      <c r="A91" s="43">
        <v>175</v>
      </c>
      <c r="B91" s="42">
        <v>11</v>
      </c>
    </row>
    <row r="92" spans="1:2" x14ac:dyDescent="0.3">
      <c r="A92" s="43">
        <v>38.700000000000003</v>
      </c>
      <c r="B92" s="42">
        <v>7.5</v>
      </c>
    </row>
    <row r="93" spans="1:2" x14ac:dyDescent="0.3">
      <c r="A93" s="43">
        <v>36.299999999999997</v>
      </c>
      <c r="B93" s="42">
        <v>7.5</v>
      </c>
    </row>
    <row r="94" spans="1:2" x14ac:dyDescent="0.3">
      <c r="A94" s="43">
        <v>86</v>
      </c>
      <c r="B94" s="42">
        <v>7</v>
      </c>
    </row>
    <row r="95" spans="1:2" x14ac:dyDescent="0.3">
      <c r="A95" s="43">
        <v>45.2</v>
      </c>
      <c r="B95" s="42">
        <v>7</v>
      </c>
    </row>
    <row r="96" spans="1:2" x14ac:dyDescent="0.3">
      <c r="A96" s="43">
        <v>31</v>
      </c>
      <c r="B96" s="42">
        <v>7</v>
      </c>
    </row>
    <row r="97" spans="1:2" x14ac:dyDescent="0.3">
      <c r="A97" s="43">
        <v>33</v>
      </c>
      <c r="B97" s="42">
        <v>7</v>
      </c>
    </row>
    <row r="98" spans="1:2" x14ac:dyDescent="0.3">
      <c r="A98" s="43">
        <v>49.5</v>
      </c>
      <c r="B98" s="42">
        <v>6.5</v>
      </c>
    </row>
    <row r="99" spans="1:2" x14ac:dyDescent="0.3">
      <c r="A99" s="43">
        <v>37.799999999999997</v>
      </c>
      <c r="B99" s="42">
        <v>6.5</v>
      </c>
    </row>
    <row r="100" spans="1:2" x14ac:dyDescent="0.3">
      <c r="A100" s="43">
        <v>50.5</v>
      </c>
      <c r="B100" s="42">
        <v>6</v>
      </c>
    </row>
    <row r="101" spans="1:2" x14ac:dyDescent="0.3">
      <c r="A101" s="43">
        <v>41</v>
      </c>
      <c r="B101" s="42">
        <v>6.5</v>
      </c>
    </row>
    <row r="102" spans="1:2" x14ac:dyDescent="0.3">
      <c r="A102" s="43">
        <v>20.5</v>
      </c>
      <c r="B102" s="42">
        <v>5.5</v>
      </c>
    </row>
    <row r="103" spans="1:2" x14ac:dyDescent="0.3">
      <c r="A103" s="43">
        <v>33.700000000000003</v>
      </c>
      <c r="B103" s="42">
        <v>6</v>
      </c>
    </row>
    <row r="104" spans="1:2" x14ac:dyDescent="0.3">
      <c r="A104" s="43">
        <v>48.3</v>
      </c>
      <c r="B104" s="42">
        <v>6</v>
      </c>
    </row>
    <row r="105" spans="1:2" x14ac:dyDescent="0.3">
      <c r="A105" s="43">
        <v>32.5</v>
      </c>
      <c r="B105" s="42">
        <v>6</v>
      </c>
    </row>
    <row r="106" spans="1:2" x14ac:dyDescent="0.3">
      <c r="A106" s="43">
        <v>20.8</v>
      </c>
      <c r="B106" s="42">
        <v>6.5</v>
      </c>
    </row>
    <row r="107" spans="1:2" x14ac:dyDescent="0.3">
      <c r="A107" s="43">
        <v>30.9</v>
      </c>
      <c r="B107" s="42">
        <v>5</v>
      </c>
    </row>
    <row r="108" spans="1:2" x14ac:dyDescent="0.3">
      <c r="A108" s="43">
        <v>24</v>
      </c>
      <c r="B108" s="42">
        <v>4</v>
      </c>
    </row>
    <row r="109" spans="1:2" x14ac:dyDescent="0.3">
      <c r="A109" s="43">
        <v>74.599999999999994</v>
      </c>
      <c r="B109" s="42">
        <v>8</v>
      </c>
    </row>
    <row r="110" spans="1:2" x14ac:dyDescent="0.3">
      <c r="A110" s="43">
        <v>54.6</v>
      </c>
      <c r="B110" s="42">
        <v>8</v>
      </c>
    </row>
    <row r="111" spans="1:2" x14ac:dyDescent="0.3">
      <c r="A111" s="43">
        <v>71.3</v>
      </c>
      <c r="B111" s="42">
        <v>8</v>
      </c>
    </row>
    <row r="112" spans="1:2" x14ac:dyDescent="0.3">
      <c r="A112" s="43">
        <v>98.5</v>
      </c>
      <c r="B112" s="42">
        <v>8</v>
      </c>
    </row>
    <row r="113" spans="1:2" x14ac:dyDescent="0.3">
      <c r="A113" s="43">
        <v>90.8</v>
      </c>
      <c r="B113" s="42">
        <v>10</v>
      </c>
    </row>
    <row r="114" spans="1:2" x14ac:dyDescent="0.3">
      <c r="A114" s="43">
        <v>147</v>
      </c>
      <c r="B114" s="42">
        <v>10</v>
      </c>
    </row>
    <row r="115" spans="1:2" x14ac:dyDescent="0.3">
      <c r="A115" s="43">
        <v>103</v>
      </c>
      <c r="B115" s="42">
        <v>9</v>
      </c>
    </row>
    <row r="116" spans="1:2" x14ac:dyDescent="0.3">
      <c r="A116" s="43">
        <v>114.9</v>
      </c>
      <c r="B116" s="42">
        <v>10</v>
      </c>
    </row>
    <row r="117" spans="1:2" x14ac:dyDescent="0.3">
      <c r="A117" s="43">
        <v>132.6</v>
      </c>
      <c r="B117" s="42">
        <v>10</v>
      </c>
    </row>
    <row r="118" spans="1:2" x14ac:dyDescent="0.3">
      <c r="A118" s="43">
        <v>37.4</v>
      </c>
      <c r="B118" s="42">
        <v>8</v>
      </c>
    </row>
    <row r="119" spans="1:2" x14ac:dyDescent="0.3">
      <c r="A119" s="43">
        <v>17</v>
      </c>
      <c r="B119" s="42">
        <v>7</v>
      </c>
    </row>
    <row r="120" spans="1:2" x14ac:dyDescent="0.3">
      <c r="A120" s="43">
        <v>31.5</v>
      </c>
      <c r="B120" s="42">
        <v>7.5</v>
      </c>
    </row>
    <row r="121" spans="1:2" x14ac:dyDescent="0.3">
      <c r="A121" s="43">
        <v>37.799999999999997</v>
      </c>
      <c r="B121" s="42">
        <v>7</v>
      </c>
    </row>
    <row r="122" spans="1:2" x14ac:dyDescent="0.3">
      <c r="A122" s="43">
        <v>62.3</v>
      </c>
      <c r="B122" s="42">
        <v>7</v>
      </c>
    </row>
    <row r="123" spans="1:2" x14ac:dyDescent="0.3">
      <c r="A123" s="43">
        <v>35.200000000000003</v>
      </c>
      <c r="B123" s="42">
        <v>7.5</v>
      </c>
    </row>
    <row r="124" spans="1:2" x14ac:dyDescent="0.3">
      <c r="A124" s="43">
        <v>22.1</v>
      </c>
      <c r="B124" s="42">
        <v>7</v>
      </c>
    </row>
    <row r="125" spans="1:2" x14ac:dyDescent="0.3">
      <c r="A125" s="43">
        <v>94.3</v>
      </c>
      <c r="B125" s="42">
        <v>7</v>
      </c>
    </row>
    <row r="126" spans="1:2" x14ac:dyDescent="0.3">
      <c r="A126" s="43">
        <v>36.4</v>
      </c>
      <c r="B126" s="42">
        <v>5</v>
      </c>
    </row>
    <row r="127" spans="1:2" x14ac:dyDescent="0.3">
      <c r="A127" s="43">
        <v>23.5</v>
      </c>
      <c r="B127" s="42">
        <v>5</v>
      </c>
    </row>
    <row r="128" spans="1:2" x14ac:dyDescent="0.3">
      <c r="A128" s="43">
        <v>25.5</v>
      </c>
      <c r="B128" s="42">
        <v>5.5</v>
      </c>
    </row>
    <row r="129" spans="1:2" x14ac:dyDescent="0.3">
      <c r="A129" s="43">
        <v>19.5</v>
      </c>
      <c r="B129" s="42">
        <v>5</v>
      </c>
    </row>
    <row r="130" spans="1:2" x14ac:dyDescent="0.3">
      <c r="A130" s="43">
        <v>29.7</v>
      </c>
      <c r="B130" s="42">
        <v>6</v>
      </c>
    </row>
    <row r="131" spans="1:2" x14ac:dyDescent="0.3">
      <c r="A131" s="43">
        <v>18.8</v>
      </c>
      <c r="B131" s="42">
        <v>6</v>
      </c>
    </row>
    <row r="132" spans="1:2" x14ac:dyDescent="0.3">
      <c r="A132" s="43">
        <v>27.3</v>
      </c>
      <c r="B132" s="42">
        <v>5</v>
      </c>
    </row>
    <row r="133" spans="1:2" x14ac:dyDescent="0.3">
      <c r="A133" s="43">
        <v>24.8</v>
      </c>
      <c r="B133" s="42">
        <v>5</v>
      </c>
    </row>
    <row r="134" spans="1:2" x14ac:dyDescent="0.3">
      <c r="A134" s="43">
        <v>25.5</v>
      </c>
      <c r="B134" s="42">
        <v>5</v>
      </c>
    </row>
    <row r="135" spans="1:2" x14ac:dyDescent="0.3">
      <c r="A135" s="43">
        <v>16</v>
      </c>
      <c r="B135" s="42">
        <v>4</v>
      </c>
    </row>
    <row r="136" spans="1:2" x14ac:dyDescent="0.3">
      <c r="A136" s="43">
        <v>22.3</v>
      </c>
      <c r="B136" s="42">
        <v>5</v>
      </c>
    </row>
    <row r="137" spans="1:2" x14ac:dyDescent="0.3">
      <c r="A137" s="43">
        <v>24</v>
      </c>
      <c r="B137" s="42">
        <v>5</v>
      </c>
    </row>
    <row r="138" spans="1:2" x14ac:dyDescent="0.3">
      <c r="A138" s="43">
        <v>34.1</v>
      </c>
      <c r="B138" s="42">
        <v>8.5</v>
      </c>
    </row>
    <row r="139" spans="1:2" x14ac:dyDescent="0.3">
      <c r="A139" s="43">
        <v>55.6</v>
      </c>
      <c r="B139" s="42">
        <v>8</v>
      </c>
    </row>
    <row r="140" spans="1:2" x14ac:dyDescent="0.3">
      <c r="A140" s="43">
        <v>29.8</v>
      </c>
      <c r="B140" s="42">
        <v>9</v>
      </c>
    </row>
    <row r="141" spans="1:2" x14ac:dyDescent="0.3">
      <c r="A141" s="43">
        <v>26.5</v>
      </c>
      <c r="B141" s="42">
        <v>8</v>
      </c>
    </row>
    <row r="142" spans="1:2" x14ac:dyDescent="0.3">
      <c r="A142" s="43">
        <v>62.8</v>
      </c>
      <c r="B142" s="42">
        <v>9</v>
      </c>
    </row>
    <row r="143" spans="1:2" x14ac:dyDescent="0.3">
      <c r="A143" s="43">
        <v>81.8</v>
      </c>
      <c r="B143" s="42">
        <v>9</v>
      </c>
    </row>
    <row r="144" spans="1:2" x14ac:dyDescent="0.3">
      <c r="A144" s="43">
        <v>42.3</v>
      </c>
      <c r="B144" s="42">
        <v>8.5</v>
      </c>
    </row>
    <row r="145" spans="1:2" x14ac:dyDescent="0.3">
      <c r="A145" s="43">
        <v>112</v>
      </c>
      <c r="B145" s="42">
        <v>9</v>
      </c>
    </row>
    <row r="146" spans="1:2" x14ac:dyDescent="0.3">
      <c r="A146" s="43">
        <v>83</v>
      </c>
      <c r="B146" s="42">
        <v>8.5</v>
      </c>
    </row>
    <row r="147" spans="1:2" x14ac:dyDescent="0.3">
      <c r="A147" s="43">
        <v>58</v>
      </c>
      <c r="B147" s="42">
        <v>10</v>
      </c>
    </row>
    <row r="148" spans="1:2" x14ac:dyDescent="0.3">
      <c r="A148" s="43">
        <v>58.5</v>
      </c>
      <c r="B148" s="42">
        <v>9</v>
      </c>
    </row>
    <row r="149" spans="1:2" x14ac:dyDescent="0.3">
      <c r="A149" s="43">
        <v>27.7</v>
      </c>
      <c r="B149" s="42">
        <v>7</v>
      </c>
    </row>
    <row r="150" spans="1:2" x14ac:dyDescent="0.3">
      <c r="A150" s="43">
        <v>18</v>
      </c>
      <c r="B150" s="42">
        <v>4.3</v>
      </c>
    </row>
    <row r="151" spans="1:2" x14ac:dyDescent="0.3">
      <c r="A151" s="43">
        <v>112</v>
      </c>
      <c r="B151" s="42">
        <v>10</v>
      </c>
    </row>
    <row r="152" spans="1:2" x14ac:dyDescent="0.3">
      <c r="A152" s="43">
        <v>93.5</v>
      </c>
      <c r="B152" s="42">
        <v>10.5</v>
      </c>
    </row>
    <row r="153" spans="1:2" x14ac:dyDescent="0.3">
      <c r="A153" s="43">
        <v>111.4</v>
      </c>
      <c r="B153" s="42">
        <v>10</v>
      </c>
    </row>
    <row r="154" spans="1:2" x14ac:dyDescent="0.3">
      <c r="A154" s="43">
        <v>37</v>
      </c>
      <c r="B154" s="42">
        <v>9.5</v>
      </c>
    </row>
    <row r="155" spans="1:2" x14ac:dyDescent="0.3">
      <c r="A155" s="43">
        <v>94.1</v>
      </c>
      <c r="B155" s="42">
        <v>11</v>
      </c>
    </row>
    <row r="156" spans="1:2" x14ac:dyDescent="0.3">
      <c r="A156" s="43">
        <v>63</v>
      </c>
      <c r="B156" s="42">
        <v>7.5</v>
      </c>
    </row>
    <row r="157" spans="1:2" x14ac:dyDescent="0.3">
      <c r="A157" s="43">
        <v>15.5</v>
      </c>
      <c r="B157" s="42">
        <v>6</v>
      </c>
    </row>
    <row r="158" spans="1:2" x14ac:dyDescent="0.3">
      <c r="A158" s="43">
        <v>31.2</v>
      </c>
      <c r="B158" s="42">
        <v>6</v>
      </c>
    </row>
    <row r="159" spans="1:2" x14ac:dyDescent="0.3">
      <c r="A159" s="43">
        <v>20</v>
      </c>
      <c r="B159" s="42">
        <v>1.5</v>
      </c>
    </row>
    <row r="160" spans="1:2" x14ac:dyDescent="0.3">
      <c r="A160" s="43">
        <v>29.5</v>
      </c>
      <c r="B160" s="42">
        <v>3.5</v>
      </c>
    </row>
    <row r="161" spans="1:2" x14ac:dyDescent="0.3">
      <c r="A161" s="43">
        <v>72.3</v>
      </c>
      <c r="B161" s="42">
        <v>6</v>
      </c>
    </row>
    <row r="162" spans="1:2" x14ac:dyDescent="0.3">
      <c r="A162" s="43">
        <v>21.3</v>
      </c>
      <c r="B162" s="42">
        <v>4.5</v>
      </c>
    </row>
    <row r="163" spans="1:2" x14ac:dyDescent="0.3">
      <c r="A163" s="43">
        <v>24.2</v>
      </c>
      <c r="B163" s="42">
        <v>5</v>
      </c>
    </row>
    <row r="164" spans="1:2" x14ac:dyDescent="0.3">
      <c r="A164" s="43">
        <v>26.1</v>
      </c>
      <c r="B164" s="42">
        <v>5.5</v>
      </c>
    </row>
    <row r="165" spans="1:2" x14ac:dyDescent="0.3">
      <c r="A165" s="43">
        <v>37.1</v>
      </c>
      <c r="B165" s="42">
        <v>9</v>
      </c>
    </row>
    <row r="166" spans="1:2" x14ac:dyDescent="0.3">
      <c r="A166" s="43">
        <v>79.900000000000006</v>
      </c>
      <c r="B166" s="42">
        <v>9</v>
      </c>
    </row>
    <row r="167" spans="1:2" x14ac:dyDescent="0.3">
      <c r="A167" s="43">
        <v>87</v>
      </c>
      <c r="B167" s="42">
        <v>9</v>
      </c>
    </row>
    <row r="168" spans="1:2" x14ac:dyDescent="0.3">
      <c r="A168" s="43">
        <v>51.3</v>
      </c>
      <c r="B168" s="42">
        <v>10</v>
      </c>
    </row>
    <row r="169" spans="1:2" x14ac:dyDescent="0.3">
      <c r="A169" s="43">
        <v>57.2</v>
      </c>
      <c r="B169" s="42">
        <v>9</v>
      </c>
    </row>
    <row r="170" spans="1:2" x14ac:dyDescent="0.3">
      <c r="A170" s="43">
        <v>43.7</v>
      </c>
      <c r="B170" s="42">
        <v>8</v>
      </c>
    </row>
    <row r="171" spans="1:2" x14ac:dyDescent="0.3">
      <c r="A171" s="43">
        <v>83</v>
      </c>
      <c r="B171" s="42">
        <v>9</v>
      </c>
    </row>
    <row r="172" spans="1:2" x14ac:dyDescent="0.3">
      <c r="A172" s="43">
        <v>83.7</v>
      </c>
      <c r="B172" s="42">
        <v>8</v>
      </c>
    </row>
    <row r="173" spans="1:2" x14ac:dyDescent="0.3">
      <c r="A173" s="43">
        <v>36.5</v>
      </c>
      <c r="B173" s="42">
        <v>1.8</v>
      </c>
    </row>
    <row r="174" spans="1:2" x14ac:dyDescent="0.3">
      <c r="A174" s="43">
        <v>41.1</v>
      </c>
      <c r="B174" s="42">
        <v>2.5</v>
      </c>
    </row>
    <row r="175" spans="1:2" x14ac:dyDescent="0.3">
      <c r="A175" s="43">
        <v>26.4</v>
      </c>
      <c r="B175" s="42">
        <v>2.5</v>
      </c>
    </row>
    <row r="176" spans="1:2" x14ac:dyDescent="0.3">
      <c r="A176" s="43">
        <v>22.1</v>
      </c>
      <c r="B176" s="42">
        <v>2</v>
      </c>
    </row>
    <row r="177" spans="1:2" x14ac:dyDescent="0.3">
      <c r="A177" s="43">
        <v>43.9</v>
      </c>
      <c r="B177" s="42">
        <v>2.2999999999999998</v>
      </c>
    </row>
    <row r="178" spans="1:2" x14ac:dyDescent="0.3">
      <c r="A178" s="43">
        <v>41.9</v>
      </c>
      <c r="B178" s="42">
        <v>2.2999999999999998</v>
      </c>
    </row>
    <row r="179" spans="1:2" x14ac:dyDescent="0.3">
      <c r="A179" s="43">
        <v>64</v>
      </c>
      <c r="B179" s="42">
        <v>5</v>
      </c>
    </row>
    <row r="180" spans="1:2" x14ac:dyDescent="0.3">
      <c r="A180" s="43">
        <v>35.5</v>
      </c>
      <c r="B180" s="42">
        <v>6.5</v>
      </c>
    </row>
    <row r="181" spans="1:2" x14ac:dyDescent="0.3">
      <c r="A181" s="43">
        <v>26.7</v>
      </c>
      <c r="B181" s="42">
        <v>5.5</v>
      </c>
    </row>
    <row r="182" spans="1:2" x14ac:dyDescent="0.3">
      <c r="A182" s="43">
        <v>62</v>
      </c>
      <c r="B182" s="42">
        <v>10</v>
      </c>
    </row>
    <row r="183" spans="1:2" x14ac:dyDescent="0.3">
      <c r="A183" s="43">
        <v>54.3</v>
      </c>
      <c r="B183" s="42">
        <v>9</v>
      </c>
    </row>
    <row r="184" spans="1:2" x14ac:dyDescent="0.3">
      <c r="A184" s="43">
        <v>52.3</v>
      </c>
      <c r="B184" s="42">
        <v>9</v>
      </c>
    </row>
    <row r="185" spans="1:2" x14ac:dyDescent="0.3">
      <c r="A185" s="43">
        <v>110</v>
      </c>
      <c r="B185" s="42">
        <v>10</v>
      </c>
    </row>
    <row r="186" spans="1:2" x14ac:dyDescent="0.3">
      <c r="A186" s="43">
        <v>93.2</v>
      </c>
      <c r="B186" s="42">
        <v>9.5</v>
      </c>
    </row>
    <row r="187" spans="1:2" x14ac:dyDescent="0.3">
      <c r="A187" s="43">
        <v>117.7</v>
      </c>
      <c r="B187" s="42">
        <v>10</v>
      </c>
    </row>
    <row r="188" spans="1:2" x14ac:dyDescent="0.3">
      <c r="A188" s="43">
        <v>73.5</v>
      </c>
      <c r="B188" s="42">
        <v>8</v>
      </c>
    </row>
    <row r="189" spans="1:2" x14ac:dyDescent="0.3">
      <c r="A189" s="43">
        <v>43</v>
      </c>
      <c r="B189" s="42">
        <v>10</v>
      </c>
    </row>
    <row r="190" spans="1:2" x14ac:dyDescent="0.3">
      <c r="A190" s="43">
        <v>22.4</v>
      </c>
      <c r="B190" s="42">
        <v>8</v>
      </c>
    </row>
    <row r="191" spans="1:2" x14ac:dyDescent="0.3">
      <c r="A191" s="43">
        <v>88</v>
      </c>
      <c r="B191" s="42">
        <v>11</v>
      </c>
    </row>
    <row r="192" spans="1:2" x14ac:dyDescent="0.3">
      <c r="A192" s="43">
        <v>106.5</v>
      </c>
      <c r="B192" s="42">
        <v>11</v>
      </c>
    </row>
    <row r="193" spans="1:22" x14ac:dyDescent="0.3">
      <c r="A193" s="43">
        <v>98</v>
      </c>
      <c r="B193" s="42">
        <v>12</v>
      </c>
    </row>
    <row r="194" spans="1:22" x14ac:dyDescent="0.3">
      <c r="A194" s="43">
        <v>125.5</v>
      </c>
      <c r="B194" s="42">
        <v>12</v>
      </c>
    </row>
    <row r="195" spans="1:22" x14ac:dyDescent="0.3">
      <c r="A195" s="43">
        <v>29.4</v>
      </c>
      <c r="B195" s="42">
        <v>7</v>
      </c>
    </row>
    <row r="196" spans="1:22" x14ac:dyDescent="0.3">
      <c r="A196" s="43">
        <v>25.5</v>
      </c>
      <c r="B196" s="42">
        <v>6</v>
      </c>
    </row>
    <row r="197" spans="1:22" x14ac:dyDescent="0.3">
      <c r="A197" s="43">
        <v>23</v>
      </c>
      <c r="B197" s="42">
        <v>2.2999999999999998</v>
      </c>
    </row>
    <row r="198" spans="1:22" x14ac:dyDescent="0.3">
      <c r="A198" s="43">
        <v>18.899999999999999</v>
      </c>
      <c r="B198" s="42">
        <v>2.2999999999999998</v>
      </c>
    </row>
    <row r="199" spans="1:22" x14ac:dyDescent="0.3">
      <c r="A199" s="43">
        <v>17</v>
      </c>
      <c r="B199" s="42">
        <v>1.7</v>
      </c>
    </row>
    <row r="200" spans="1:22" x14ac:dyDescent="0.3">
      <c r="A200" s="43">
        <v>37.5</v>
      </c>
      <c r="B200" s="42">
        <v>4</v>
      </c>
    </row>
    <row r="201" spans="1:22" x14ac:dyDescent="0.3">
      <c r="A201" s="43">
        <v>28.1</v>
      </c>
      <c r="B201" s="42">
        <v>3</v>
      </c>
    </row>
    <row r="202" spans="1:22" s="36" customFormat="1" x14ac:dyDescent="0.3">
      <c r="A202" s="43">
        <v>65.099999999999994</v>
      </c>
      <c r="B202" s="42">
        <v>6</v>
      </c>
      <c r="C202" s="33"/>
      <c r="D202" s="34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</row>
    <row r="203" spans="1:22" s="35" customFormat="1" x14ac:dyDescent="0.3">
      <c r="A203" s="44">
        <v>19.5</v>
      </c>
      <c r="B203" s="42">
        <v>4.5</v>
      </c>
      <c r="C203" s="33"/>
      <c r="D203" s="34"/>
    </row>
    <row r="204" spans="1:22" s="1" customFormat="1" x14ac:dyDescent="0.3">
      <c r="A204" s="44">
        <v>24.2</v>
      </c>
      <c r="B204" s="42">
        <v>6</v>
      </c>
      <c r="C204" s="5"/>
      <c r="D204" s="10"/>
    </row>
    <row r="205" spans="1:22" s="1" customFormat="1" x14ac:dyDescent="0.3">
      <c r="A205" s="44">
        <v>21.2</v>
      </c>
      <c r="B205" s="42">
        <v>6</v>
      </c>
      <c r="C205" s="5"/>
      <c r="D205" s="10"/>
    </row>
    <row r="206" spans="1:22" s="1" customFormat="1" x14ac:dyDescent="0.3">
      <c r="A206" s="44">
        <v>23.8</v>
      </c>
      <c r="B206" s="42">
        <v>5.5</v>
      </c>
      <c r="C206" s="5"/>
      <c r="D206" s="10"/>
    </row>
    <row r="207" spans="1:22" s="1" customFormat="1" x14ac:dyDescent="0.3">
      <c r="A207" s="44">
        <v>17.5</v>
      </c>
      <c r="B207" s="42">
        <v>6</v>
      </c>
      <c r="C207" s="5"/>
      <c r="D207" s="10"/>
    </row>
    <row r="208" spans="1:22" s="1" customFormat="1" x14ac:dyDescent="0.3">
      <c r="A208" s="44">
        <v>34.6</v>
      </c>
      <c r="B208" s="42">
        <v>6</v>
      </c>
      <c r="C208" s="5"/>
      <c r="D208" s="10"/>
    </row>
    <row r="209" spans="1:4" s="1" customFormat="1" x14ac:dyDescent="0.3">
      <c r="A209" s="44">
        <v>27</v>
      </c>
      <c r="B209" s="42">
        <v>5</v>
      </c>
      <c r="C209" s="5"/>
      <c r="D209" s="10"/>
    </row>
    <row r="210" spans="1:4" s="1" customFormat="1" x14ac:dyDescent="0.3">
      <c r="A210" s="44">
        <v>29.4</v>
      </c>
      <c r="B210" s="42">
        <v>6</v>
      </c>
      <c r="C210" s="5"/>
      <c r="D210" s="10"/>
    </row>
    <row r="211" spans="1:4" s="1" customFormat="1" x14ac:dyDescent="0.3">
      <c r="A211" s="44">
        <v>47.8</v>
      </c>
      <c r="B211" s="42">
        <v>6</v>
      </c>
      <c r="C211" s="5"/>
      <c r="D211" s="10"/>
    </row>
    <row r="212" spans="1:4" s="1" customFormat="1" x14ac:dyDescent="0.3">
      <c r="A212" s="44">
        <v>18</v>
      </c>
      <c r="B212" s="42">
        <v>3.5</v>
      </c>
      <c r="C212" s="5"/>
      <c r="D212" s="10"/>
    </row>
    <row r="213" spans="1:4" s="1" customFormat="1" x14ac:dyDescent="0.3">
      <c r="A213" s="44">
        <v>66</v>
      </c>
      <c r="B213" s="42">
        <v>9</v>
      </c>
      <c r="C213" s="5"/>
      <c r="D213" s="10"/>
    </row>
    <row r="214" spans="1:4" s="1" customFormat="1" x14ac:dyDescent="0.3">
      <c r="A214" s="44">
        <v>52</v>
      </c>
      <c r="B214" s="42">
        <v>9.5</v>
      </c>
      <c r="C214" s="5"/>
      <c r="D214" s="10"/>
    </row>
    <row r="215" spans="1:4" s="1" customFormat="1" x14ac:dyDescent="0.3">
      <c r="A215" s="44">
        <v>71.5</v>
      </c>
      <c r="B215" s="42">
        <v>10</v>
      </c>
      <c r="C215" s="5"/>
      <c r="D215" s="10"/>
    </row>
    <row r="216" spans="1:4" s="1" customFormat="1" x14ac:dyDescent="0.3">
      <c r="A216" s="44">
        <v>37.700000000000003</v>
      </c>
      <c r="B216" s="42">
        <v>10</v>
      </c>
      <c r="C216" s="5"/>
      <c r="D216" s="10"/>
    </row>
    <row r="217" spans="1:4" s="1" customFormat="1" x14ac:dyDescent="0.3">
      <c r="A217" s="44">
        <v>120.4</v>
      </c>
      <c r="B217" s="42">
        <v>10</v>
      </c>
      <c r="C217" s="5"/>
      <c r="D217" s="10"/>
    </row>
    <row r="218" spans="1:4" s="1" customFormat="1" x14ac:dyDescent="0.3">
      <c r="A218" s="44">
        <v>78.7</v>
      </c>
      <c r="B218" s="42">
        <v>8</v>
      </c>
      <c r="C218" s="5"/>
      <c r="D218" s="10"/>
    </row>
    <row r="219" spans="1:4" s="1" customFormat="1" x14ac:dyDescent="0.3">
      <c r="A219" s="44">
        <v>114.4</v>
      </c>
      <c r="B219" s="42">
        <v>8</v>
      </c>
      <c r="C219" s="5"/>
      <c r="D219" s="10"/>
    </row>
    <row r="220" spans="1:4" s="1" customFormat="1" x14ac:dyDescent="0.3">
      <c r="A220" s="44">
        <v>43.5</v>
      </c>
      <c r="B220" s="42">
        <v>10</v>
      </c>
      <c r="C220" s="5"/>
      <c r="D220" s="10"/>
    </row>
    <row r="221" spans="1:4" s="1" customFormat="1" x14ac:dyDescent="0.3">
      <c r="A221" s="44">
        <v>49</v>
      </c>
      <c r="B221" s="42">
        <v>12</v>
      </c>
      <c r="C221" s="5"/>
      <c r="D221" s="10"/>
    </row>
    <row r="222" spans="1:4" s="1" customFormat="1" x14ac:dyDescent="0.3">
      <c r="A222" s="44">
        <v>97</v>
      </c>
      <c r="B222" s="42">
        <v>12</v>
      </c>
      <c r="C222" s="5"/>
      <c r="D222" s="10"/>
    </row>
    <row r="223" spans="1:4" s="1" customFormat="1" x14ac:dyDescent="0.3">
      <c r="A223" s="44">
        <v>145.5</v>
      </c>
      <c r="B223" s="42">
        <v>12</v>
      </c>
      <c r="C223" s="5"/>
      <c r="D223" s="10"/>
    </row>
    <row r="224" spans="1:4" s="1" customFormat="1" x14ac:dyDescent="0.3">
      <c r="A224" s="44">
        <v>157.4</v>
      </c>
      <c r="B224" s="42">
        <v>12</v>
      </c>
      <c r="C224" s="5"/>
      <c r="D224" s="10"/>
    </row>
    <row r="225" spans="1:4" s="1" customFormat="1" x14ac:dyDescent="0.3">
      <c r="A225" s="44">
        <v>63.9</v>
      </c>
      <c r="B225" s="42">
        <v>12</v>
      </c>
      <c r="C225" s="5"/>
      <c r="D225" s="10"/>
    </row>
    <row r="226" spans="1:4" s="1" customFormat="1" x14ac:dyDescent="0.3">
      <c r="A226" s="44">
        <v>71.8</v>
      </c>
      <c r="B226" s="42">
        <v>12</v>
      </c>
      <c r="C226" s="5"/>
      <c r="D226" s="10"/>
    </row>
    <row r="227" spans="1:4" s="1" customFormat="1" x14ac:dyDescent="0.3">
      <c r="A227" s="44">
        <v>113.2</v>
      </c>
      <c r="B227" s="42">
        <v>12</v>
      </c>
      <c r="C227" s="5"/>
      <c r="D227" s="10"/>
    </row>
    <row r="228" spans="1:4" s="1" customFormat="1" x14ac:dyDescent="0.3">
      <c r="A228" s="44">
        <v>30.3</v>
      </c>
      <c r="B228" s="42">
        <v>7</v>
      </c>
      <c r="C228" s="5"/>
      <c r="D228" s="10"/>
    </row>
    <row r="229" spans="1:4" s="1" customFormat="1" x14ac:dyDescent="0.3">
      <c r="A229" s="44">
        <v>39</v>
      </c>
      <c r="B229" s="42">
        <v>7</v>
      </c>
      <c r="C229" s="5"/>
      <c r="D229" s="10"/>
    </row>
    <row r="230" spans="1:4" s="1" customFormat="1" x14ac:dyDescent="0.3">
      <c r="A230" s="44">
        <v>63</v>
      </c>
      <c r="B230" s="42">
        <v>7</v>
      </c>
      <c r="C230" s="5"/>
      <c r="D230" s="10"/>
    </row>
    <row r="231" spans="1:4" s="1" customFormat="1" x14ac:dyDescent="0.3">
      <c r="A231" s="44">
        <v>20.6</v>
      </c>
      <c r="B231" s="42">
        <v>5</v>
      </c>
      <c r="C231" s="5"/>
      <c r="D231" s="10"/>
    </row>
    <row r="232" spans="1:4" s="1" customFormat="1" x14ac:dyDescent="0.3">
      <c r="A232" s="44">
        <v>19.5</v>
      </c>
      <c r="B232" s="42">
        <v>2.2000000000000002</v>
      </c>
      <c r="C232" s="5"/>
      <c r="D232" s="10"/>
    </row>
    <row r="233" spans="1:4" s="1" customFormat="1" x14ac:dyDescent="0.3">
      <c r="A233" s="44">
        <v>15.5</v>
      </c>
      <c r="B233" s="42">
        <v>3.5</v>
      </c>
      <c r="C233" s="5"/>
      <c r="D233" s="10"/>
    </row>
    <row r="234" spans="1:4" s="1" customFormat="1" x14ac:dyDescent="0.3">
      <c r="A234" s="44">
        <v>24.2</v>
      </c>
      <c r="B234" s="42">
        <v>5</v>
      </c>
      <c r="C234" s="5"/>
      <c r="D234" s="10"/>
    </row>
    <row r="235" spans="1:4" s="1" customFormat="1" x14ac:dyDescent="0.3">
      <c r="A235" s="44">
        <v>21.5</v>
      </c>
      <c r="B235" s="42">
        <v>3.5</v>
      </c>
      <c r="C235" s="5"/>
      <c r="D235" s="10"/>
    </row>
    <row r="236" spans="1:4" s="1" customFormat="1" x14ac:dyDescent="0.3">
      <c r="A236" s="44">
        <v>34.700000000000003</v>
      </c>
      <c r="B236" s="42">
        <v>6.5</v>
      </c>
      <c r="C236" s="5"/>
      <c r="D236" s="10"/>
    </row>
    <row r="237" spans="1:4" s="1" customFormat="1" x14ac:dyDescent="0.3">
      <c r="A237" s="44">
        <v>22.8</v>
      </c>
      <c r="B237" s="42">
        <v>6</v>
      </c>
      <c r="C237" s="5"/>
      <c r="D237" s="10"/>
    </row>
    <row r="238" spans="1:4" s="1" customFormat="1" x14ac:dyDescent="0.3">
      <c r="A238" s="44">
        <v>18</v>
      </c>
      <c r="B238" s="42">
        <v>6</v>
      </c>
      <c r="C238" s="5"/>
      <c r="D238" s="10"/>
    </row>
    <row r="239" spans="1:4" s="1" customFormat="1" x14ac:dyDescent="0.3">
      <c r="A239" s="44">
        <v>34.299999999999997</v>
      </c>
      <c r="B239" s="42">
        <v>6.5</v>
      </c>
      <c r="C239" s="5"/>
      <c r="D239" s="10"/>
    </row>
    <row r="240" spans="1:4" s="1" customFormat="1" x14ac:dyDescent="0.3">
      <c r="A240" s="44">
        <v>18.5</v>
      </c>
      <c r="B240" s="42">
        <v>3.5</v>
      </c>
      <c r="C240" s="5"/>
      <c r="D240" s="10"/>
    </row>
    <row r="241" spans="1:4" s="1" customFormat="1" x14ac:dyDescent="0.3">
      <c r="A241" s="44">
        <v>33.5</v>
      </c>
      <c r="B241" s="42">
        <v>10</v>
      </c>
      <c r="C241" s="5"/>
      <c r="D241" s="10"/>
    </row>
    <row r="242" spans="1:4" s="1" customFormat="1" x14ac:dyDescent="0.3">
      <c r="A242" s="44">
        <v>29</v>
      </c>
      <c r="B242" s="42">
        <v>10</v>
      </c>
      <c r="C242" s="5"/>
      <c r="D242" s="10"/>
    </row>
    <row r="243" spans="1:4" s="1" customFormat="1" x14ac:dyDescent="0.3">
      <c r="A243" s="44">
        <v>65.599999999999994</v>
      </c>
      <c r="B243" s="42">
        <v>9.5</v>
      </c>
      <c r="C243" s="5"/>
      <c r="D243" s="10"/>
    </row>
    <row r="244" spans="1:4" s="1" customFormat="1" x14ac:dyDescent="0.3">
      <c r="A244" s="44">
        <v>30</v>
      </c>
      <c r="B244" s="42">
        <v>10</v>
      </c>
      <c r="C244" s="5"/>
      <c r="D244" s="10"/>
    </row>
    <row r="245" spans="1:4" s="1" customFormat="1" x14ac:dyDescent="0.3">
      <c r="A245" s="44">
        <v>66.099999999999994</v>
      </c>
      <c r="B245" s="42">
        <v>9</v>
      </c>
      <c r="C245" s="5"/>
      <c r="D245" s="10"/>
    </row>
    <row r="246" spans="1:4" s="1" customFormat="1" x14ac:dyDescent="0.3">
      <c r="A246" s="44">
        <v>68.599999999999994</v>
      </c>
      <c r="B246" s="42">
        <v>8</v>
      </c>
      <c r="C246" s="5"/>
      <c r="D246" s="10"/>
    </row>
    <row r="247" spans="1:4" s="1" customFormat="1" x14ac:dyDescent="0.3">
      <c r="A247" s="44">
        <v>31</v>
      </c>
      <c r="B247" s="42">
        <v>9</v>
      </c>
      <c r="C247" s="5"/>
      <c r="D247" s="10"/>
    </row>
    <row r="248" spans="1:4" s="1" customFormat="1" x14ac:dyDescent="0.3">
      <c r="A248" s="44">
        <v>126</v>
      </c>
      <c r="B248" s="42">
        <v>10</v>
      </c>
      <c r="C248" s="5"/>
      <c r="D248" s="10"/>
    </row>
    <row r="249" spans="1:4" s="1" customFormat="1" x14ac:dyDescent="0.3">
      <c r="A249" s="44">
        <v>87</v>
      </c>
      <c r="B249" s="42">
        <v>8.5</v>
      </c>
      <c r="C249" s="5"/>
      <c r="D249" s="10"/>
    </row>
    <row r="250" spans="1:4" s="1" customFormat="1" x14ac:dyDescent="0.3">
      <c r="A250" s="44">
        <v>32.5</v>
      </c>
      <c r="B250" s="42">
        <v>8.5</v>
      </c>
      <c r="C250" s="5"/>
      <c r="D250" s="10"/>
    </row>
    <row r="251" spans="1:4" s="1" customFormat="1" x14ac:dyDescent="0.3">
      <c r="A251" s="44">
        <v>54.7</v>
      </c>
      <c r="B251" s="42">
        <v>8</v>
      </c>
      <c r="C251" s="5"/>
      <c r="D251" s="10"/>
    </row>
    <row r="252" spans="1:4" s="1" customFormat="1" x14ac:dyDescent="0.3">
      <c r="A252" s="44">
        <v>20.2</v>
      </c>
      <c r="B252" s="42">
        <v>12</v>
      </c>
      <c r="C252" s="5"/>
      <c r="D252" s="10"/>
    </row>
    <row r="253" spans="1:4" s="1" customFormat="1" x14ac:dyDescent="0.3">
      <c r="A253" s="44">
        <v>109</v>
      </c>
      <c r="B253" s="42">
        <v>13</v>
      </c>
      <c r="C253" s="5"/>
      <c r="D253" s="10"/>
    </row>
    <row r="254" spans="1:4" s="1" customFormat="1" x14ac:dyDescent="0.3">
      <c r="A254" s="44">
        <v>85.7</v>
      </c>
      <c r="B254" s="42">
        <v>12</v>
      </c>
      <c r="C254" s="5"/>
      <c r="D254" s="10"/>
    </row>
    <row r="255" spans="1:4" s="1" customFormat="1" x14ac:dyDescent="0.3">
      <c r="A255" s="44">
        <v>82.1</v>
      </c>
      <c r="B255" s="42">
        <v>12</v>
      </c>
      <c r="C255" s="5"/>
      <c r="D255" s="10"/>
    </row>
    <row r="256" spans="1:4" s="1" customFormat="1" x14ac:dyDescent="0.3">
      <c r="A256" s="44">
        <v>37.700000000000003</v>
      </c>
      <c r="B256" s="42">
        <v>12</v>
      </c>
      <c r="C256" s="5"/>
      <c r="D256" s="10"/>
    </row>
    <row r="257" spans="1:4" s="1" customFormat="1" x14ac:dyDescent="0.3">
      <c r="A257" s="44">
        <v>46</v>
      </c>
      <c r="B257" s="42">
        <v>7</v>
      </c>
      <c r="C257" s="5"/>
      <c r="D257" s="10"/>
    </row>
    <row r="258" spans="1:4" s="1" customFormat="1" x14ac:dyDescent="0.3">
      <c r="A258" s="44">
        <v>55</v>
      </c>
      <c r="B258" s="42">
        <v>7.5</v>
      </c>
      <c r="C258" s="5"/>
      <c r="D258" s="10"/>
    </row>
    <row r="259" spans="1:4" s="1" customFormat="1" x14ac:dyDescent="0.3">
      <c r="A259" s="44">
        <v>26.3</v>
      </c>
      <c r="B259" s="42">
        <v>7</v>
      </c>
      <c r="C259" s="5"/>
      <c r="D259" s="10"/>
    </row>
    <row r="260" spans="1:4" s="1" customFormat="1" x14ac:dyDescent="0.3">
      <c r="A260" s="44">
        <v>19</v>
      </c>
      <c r="B260" s="42">
        <v>7</v>
      </c>
      <c r="C260" s="5"/>
      <c r="D260" s="10"/>
    </row>
    <row r="261" spans="1:4" s="1" customFormat="1" x14ac:dyDescent="0.3">
      <c r="A261" s="44">
        <v>82</v>
      </c>
      <c r="B261" s="42">
        <v>7</v>
      </c>
      <c r="C261" s="5"/>
      <c r="D261" s="10"/>
    </row>
    <row r="262" spans="1:4" s="1" customFormat="1" x14ac:dyDescent="0.3">
      <c r="A262" s="44">
        <v>22</v>
      </c>
      <c r="B262" s="42">
        <v>4</v>
      </c>
      <c r="C262" s="5"/>
      <c r="D262" s="10"/>
    </row>
    <row r="263" spans="1:4" s="1" customFormat="1" x14ac:dyDescent="0.3">
      <c r="A263" s="44">
        <v>49.7</v>
      </c>
      <c r="B263" s="42">
        <v>6</v>
      </c>
      <c r="C263" s="5"/>
      <c r="D263" s="10"/>
    </row>
    <row r="264" spans="1:4" s="1" customFormat="1" x14ac:dyDescent="0.3">
      <c r="A264" s="44">
        <v>51.5</v>
      </c>
      <c r="B264" s="42">
        <v>6</v>
      </c>
      <c r="C264" s="5"/>
      <c r="D264" s="10"/>
    </row>
    <row r="265" spans="1:4" s="1" customFormat="1" x14ac:dyDescent="0.3">
      <c r="A265" s="44">
        <v>26</v>
      </c>
      <c r="B265" s="42">
        <v>3.5</v>
      </c>
      <c r="C265" s="5"/>
      <c r="D265" s="10"/>
    </row>
    <row r="266" spans="1:4" s="1" customFormat="1" x14ac:dyDescent="0.3">
      <c r="A266" s="44">
        <v>26.5</v>
      </c>
      <c r="B266" s="42">
        <v>6</v>
      </c>
      <c r="C266" s="5"/>
      <c r="D266" s="10"/>
    </row>
    <row r="267" spans="1:4" s="1" customFormat="1" x14ac:dyDescent="0.3">
      <c r="A267" s="44">
        <v>23.8</v>
      </c>
      <c r="B267" s="42">
        <v>6</v>
      </c>
      <c r="C267" s="5"/>
      <c r="D267" s="10"/>
    </row>
    <row r="268" spans="1:4" s="1" customFormat="1" x14ac:dyDescent="0.3">
      <c r="A268" s="44">
        <v>25.8</v>
      </c>
      <c r="B268" s="42">
        <v>4</v>
      </c>
      <c r="C268" s="5"/>
      <c r="D268" s="10"/>
    </row>
    <row r="269" spans="1:4" s="1" customFormat="1" x14ac:dyDescent="0.3">
      <c r="A269" s="44">
        <v>17.5</v>
      </c>
      <c r="B269" s="42">
        <v>4</v>
      </c>
      <c r="C269" s="5"/>
      <c r="D269" s="10"/>
    </row>
    <row r="270" spans="1:4" s="1" customFormat="1" x14ac:dyDescent="0.3">
      <c r="A270" s="44">
        <v>21.9</v>
      </c>
      <c r="B270" s="42">
        <v>4.5</v>
      </c>
      <c r="C270" s="5"/>
      <c r="D270" s="10"/>
    </row>
    <row r="271" spans="1:4" s="1" customFormat="1" x14ac:dyDescent="0.3">
      <c r="A271" s="44">
        <v>27.8</v>
      </c>
      <c r="B271" s="42">
        <v>5</v>
      </c>
      <c r="C271" s="5"/>
      <c r="D271" s="10"/>
    </row>
    <row r="272" spans="1:4" s="1" customFormat="1" x14ac:dyDescent="0.3">
      <c r="A272" s="44">
        <v>28</v>
      </c>
      <c r="B272" s="42">
        <v>8</v>
      </c>
      <c r="C272" s="5"/>
      <c r="D272" s="10"/>
    </row>
    <row r="273" spans="1:4" s="1" customFormat="1" x14ac:dyDescent="0.3">
      <c r="A273" s="44">
        <v>62.6</v>
      </c>
      <c r="B273" s="42">
        <v>9</v>
      </c>
      <c r="C273" s="5"/>
      <c r="D273" s="10"/>
    </row>
    <row r="274" spans="1:4" s="1" customFormat="1" x14ac:dyDescent="0.3">
      <c r="A274" s="44">
        <v>41.8</v>
      </c>
      <c r="B274" s="42">
        <v>8</v>
      </c>
      <c r="C274" s="5"/>
      <c r="D274" s="10"/>
    </row>
    <row r="275" spans="1:4" s="1" customFormat="1" x14ac:dyDescent="0.3">
      <c r="A275" s="44">
        <v>30.1</v>
      </c>
      <c r="B275" s="42">
        <v>8</v>
      </c>
      <c r="C275" s="5"/>
      <c r="D275" s="10"/>
    </row>
    <row r="276" spans="1:4" s="1" customFormat="1" x14ac:dyDescent="0.3">
      <c r="A276" s="44">
        <v>101</v>
      </c>
      <c r="B276" s="42">
        <v>9</v>
      </c>
      <c r="C276" s="5"/>
      <c r="D276" s="10"/>
    </row>
    <row r="277" spans="1:4" s="1" customFormat="1" x14ac:dyDescent="0.3">
      <c r="A277" s="44">
        <v>76</v>
      </c>
      <c r="B277" s="42">
        <v>9</v>
      </c>
      <c r="C277" s="5"/>
      <c r="D277" s="10"/>
    </row>
    <row r="278" spans="1:4" s="1" customFormat="1" x14ac:dyDescent="0.3">
      <c r="A278" s="44">
        <v>50.8</v>
      </c>
      <c r="B278" s="42">
        <v>9</v>
      </c>
      <c r="C278" s="5"/>
      <c r="D278" s="10"/>
    </row>
    <row r="279" spans="1:4" s="1" customFormat="1" x14ac:dyDescent="0.3">
      <c r="A279" s="44">
        <v>32</v>
      </c>
      <c r="B279" s="42">
        <v>8</v>
      </c>
      <c r="C279" s="5"/>
      <c r="D279" s="10"/>
    </row>
    <row r="280" spans="1:4" s="1" customFormat="1" x14ac:dyDescent="0.3">
      <c r="A280" s="44">
        <v>23.2</v>
      </c>
      <c r="B280" s="42">
        <v>8</v>
      </c>
      <c r="C280" s="5"/>
      <c r="D280" s="10"/>
    </row>
    <row r="281" spans="1:4" s="1" customFormat="1" x14ac:dyDescent="0.3">
      <c r="A281" s="44">
        <v>33</v>
      </c>
      <c r="B281" s="42">
        <v>8</v>
      </c>
      <c r="C281" s="5"/>
      <c r="D281" s="10"/>
    </row>
    <row r="282" spans="1:4" s="1" customFormat="1" x14ac:dyDescent="0.3">
      <c r="A282" s="44">
        <v>19.399999999999999</v>
      </c>
      <c r="B282" s="42">
        <v>11</v>
      </c>
      <c r="C282" s="5"/>
      <c r="D282" s="10"/>
    </row>
    <row r="283" spans="1:4" s="1" customFormat="1" x14ac:dyDescent="0.3">
      <c r="A283" s="44">
        <v>95.1</v>
      </c>
      <c r="B283" s="42">
        <v>12</v>
      </c>
      <c r="C283" s="5"/>
      <c r="D283" s="10"/>
    </row>
    <row r="284" spans="1:4" s="1" customFormat="1" x14ac:dyDescent="0.3">
      <c r="A284" s="44">
        <v>80.2</v>
      </c>
      <c r="B284" s="42">
        <v>11</v>
      </c>
      <c r="C284" s="5"/>
      <c r="D284" s="10"/>
    </row>
    <row r="285" spans="1:4" s="1" customFormat="1" x14ac:dyDescent="0.3">
      <c r="A285" s="44">
        <v>94.3</v>
      </c>
      <c r="B285" s="42">
        <v>11</v>
      </c>
      <c r="C285" s="5"/>
      <c r="D285" s="10"/>
    </row>
    <row r="286" spans="1:4" s="1" customFormat="1" x14ac:dyDescent="0.3">
      <c r="A286" s="44">
        <v>115</v>
      </c>
      <c r="B286" s="42">
        <v>11</v>
      </c>
      <c r="C286" s="5"/>
      <c r="D286" s="10"/>
    </row>
    <row r="287" spans="1:4" s="1" customFormat="1" x14ac:dyDescent="0.3">
      <c r="A287" s="44">
        <v>64.900000000000006</v>
      </c>
      <c r="B287" s="42">
        <v>7.5</v>
      </c>
      <c r="C287" s="5"/>
      <c r="D287" s="10"/>
    </row>
    <row r="288" spans="1:4" s="1" customFormat="1" x14ac:dyDescent="0.3">
      <c r="A288" s="44">
        <v>27.5</v>
      </c>
      <c r="B288" s="42">
        <v>7.5</v>
      </c>
      <c r="C288" s="5"/>
      <c r="D288" s="10"/>
    </row>
    <row r="289" spans="1:4" s="1" customFormat="1" x14ac:dyDescent="0.3">
      <c r="A289" s="44">
        <v>15.7</v>
      </c>
      <c r="B289" s="42">
        <v>1.9</v>
      </c>
      <c r="C289" s="5"/>
      <c r="D289" s="10"/>
    </row>
    <row r="290" spans="1:4" s="1" customFormat="1" x14ac:dyDescent="0.3">
      <c r="A290" s="44">
        <v>21</v>
      </c>
      <c r="B290" s="42">
        <v>4</v>
      </c>
      <c r="C290" s="5"/>
      <c r="D290" s="10"/>
    </row>
    <row r="291" spans="1:4" x14ac:dyDescent="0.3">
      <c r="A291" s="43">
        <v>31.6</v>
      </c>
      <c r="B291" s="42">
        <v>5.5</v>
      </c>
    </row>
    <row r="292" spans="1:4" x14ac:dyDescent="0.3">
      <c r="A292" s="43">
        <v>21</v>
      </c>
      <c r="B292" s="42">
        <v>5</v>
      </c>
    </row>
    <row r="293" spans="1:4" x14ac:dyDescent="0.3">
      <c r="A293" s="43">
        <v>23.2</v>
      </c>
      <c r="B293" s="42">
        <v>5</v>
      </c>
    </row>
    <row r="294" spans="1:4" x14ac:dyDescent="0.3">
      <c r="A294" s="43">
        <v>25.6</v>
      </c>
      <c r="B294" s="42">
        <v>11</v>
      </c>
    </row>
    <row r="295" spans="1:4" x14ac:dyDescent="0.3">
      <c r="A295" s="43">
        <v>73.5</v>
      </c>
      <c r="B295" s="42">
        <v>11</v>
      </c>
    </row>
    <row r="296" spans="1:4" x14ac:dyDescent="0.3">
      <c r="A296" s="43">
        <v>99.2</v>
      </c>
      <c r="B296" s="42">
        <v>11</v>
      </c>
    </row>
    <row r="297" spans="1:4" x14ac:dyDescent="0.3">
      <c r="A297" s="43">
        <v>47.8</v>
      </c>
      <c r="B297" s="42">
        <v>7</v>
      </c>
    </row>
    <row r="298" spans="1:4" x14ac:dyDescent="0.3">
      <c r="A298" s="43">
        <v>98.6</v>
      </c>
      <c r="B298" s="42">
        <v>7</v>
      </c>
    </row>
    <row r="299" spans="1:4" x14ac:dyDescent="0.3">
      <c r="A299" s="43">
        <v>20.7</v>
      </c>
      <c r="B299" s="42">
        <v>7</v>
      </c>
    </row>
    <row r="300" spans="1:4" x14ac:dyDescent="0.3">
      <c r="A300" s="43">
        <v>42.8</v>
      </c>
      <c r="B300" s="42">
        <v>7</v>
      </c>
    </row>
    <row r="301" spans="1:4" x14ac:dyDescent="0.3">
      <c r="A301" s="43">
        <v>21.8</v>
      </c>
      <c r="B301" s="42">
        <v>3</v>
      </c>
    </row>
    <row r="302" spans="1:4" x14ac:dyDescent="0.3">
      <c r="A302" s="43">
        <v>84</v>
      </c>
      <c r="B302" s="42">
        <v>6</v>
      </c>
    </row>
    <row r="303" spans="1:4" x14ac:dyDescent="0.3">
      <c r="A303" s="43">
        <v>41.7</v>
      </c>
      <c r="B303" s="42">
        <v>6.5</v>
      </c>
    </row>
    <row r="304" spans="1:4" x14ac:dyDescent="0.3">
      <c r="A304" s="43">
        <v>26</v>
      </c>
      <c r="B304" s="42">
        <v>8</v>
      </c>
    </row>
    <row r="305" spans="1:2" x14ac:dyDescent="0.3">
      <c r="A305" s="43">
        <v>46.9</v>
      </c>
      <c r="B305" s="42">
        <v>10</v>
      </c>
    </row>
    <row r="306" spans="1:2" x14ac:dyDescent="0.3">
      <c r="A306" s="43">
        <v>57.2</v>
      </c>
      <c r="B306" s="42">
        <v>10</v>
      </c>
    </row>
    <row r="307" spans="1:2" x14ac:dyDescent="0.3">
      <c r="A307" s="43">
        <v>69.3</v>
      </c>
      <c r="B307" s="42">
        <v>12</v>
      </c>
    </row>
    <row r="308" spans="1:2" x14ac:dyDescent="0.3">
      <c r="A308" s="43">
        <v>101.5</v>
      </c>
      <c r="B308" s="42">
        <v>13</v>
      </c>
    </row>
    <row r="309" spans="1:2" x14ac:dyDescent="0.3">
      <c r="A309" s="43">
        <v>100</v>
      </c>
      <c r="B309" s="42">
        <v>5</v>
      </c>
    </row>
    <row r="310" spans="1:2" x14ac:dyDescent="0.3">
      <c r="A310" s="43">
        <v>17.5</v>
      </c>
      <c r="B310" s="42">
        <v>5.5</v>
      </c>
    </row>
    <row r="311" spans="1:2" x14ac:dyDescent="0.3">
      <c r="A311" s="43">
        <v>21</v>
      </c>
      <c r="B311" s="42">
        <v>4</v>
      </c>
    </row>
    <row r="312" spans="1:2" x14ac:dyDescent="0.3">
      <c r="A312" s="43">
        <v>19.3</v>
      </c>
      <c r="B312" s="42">
        <v>5</v>
      </c>
    </row>
    <row r="313" spans="1:2" x14ac:dyDescent="0.3">
      <c r="A313" s="43">
        <v>27.2</v>
      </c>
      <c r="B313" s="42">
        <v>4</v>
      </c>
    </row>
    <row r="314" spans="1:2" x14ac:dyDescent="0.3">
      <c r="A314" s="43">
        <v>16</v>
      </c>
      <c r="B314" s="42">
        <v>6</v>
      </c>
    </row>
    <row r="315" spans="1:2" x14ac:dyDescent="0.3">
      <c r="A315" s="43">
        <v>17.8</v>
      </c>
      <c r="B315" s="42">
        <v>5</v>
      </c>
    </row>
    <row r="316" spans="1:2" x14ac:dyDescent="0.3">
      <c r="A316" s="43">
        <v>66</v>
      </c>
      <c r="B316" s="42">
        <v>9.5</v>
      </c>
    </row>
    <row r="317" spans="1:2" x14ac:dyDescent="0.3">
      <c r="A317" s="43">
        <v>76.400000000000006</v>
      </c>
      <c r="B317" s="42">
        <v>9.5</v>
      </c>
    </row>
    <row r="318" spans="1:2" x14ac:dyDescent="0.3">
      <c r="A318" s="43">
        <v>58</v>
      </c>
      <c r="B318" s="42">
        <v>10</v>
      </c>
    </row>
    <row r="319" spans="1:2" x14ac:dyDescent="0.3">
      <c r="A319" s="43">
        <v>62.2</v>
      </c>
      <c r="B319" s="42">
        <v>10</v>
      </c>
    </row>
    <row r="320" spans="1:2" x14ac:dyDescent="0.3">
      <c r="A320" s="43">
        <v>118.8</v>
      </c>
      <c r="B320" s="42">
        <v>10</v>
      </c>
    </row>
    <row r="321" spans="1:2" x14ac:dyDescent="0.3">
      <c r="A321" s="43">
        <v>71</v>
      </c>
      <c r="B321" s="42">
        <v>8</v>
      </c>
    </row>
    <row r="322" spans="1:2" x14ac:dyDescent="0.3">
      <c r="A322" s="43">
        <v>55.3</v>
      </c>
      <c r="B322" s="42">
        <v>8</v>
      </c>
    </row>
    <row r="323" spans="1:2" x14ac:dyDescent="0.3">
      <c r="A323" s="43">
        <v>84.5</v>
      </c>
      <c r="B323" s="42">
        <v>11</v>
      </c>
    </row>
    <row r="324" spans="1:2" x14ac:dyDescent="0.3">
      <c r="A324" s="43">
        <v>186</v>
      </c>
      <c r="B324" s="42">
        <v>14</v>
      </c>
    </row>
    <row r="325" spans="1:2" x14ac:dyDescent="0.3">
      <c r="A325" s="43">
        <v>43</v>
      </c>
      <c r="B325" s="42">
        <v>13</v>
      </c>
    </row>
    <row r="326" spans="1:2" x14ac:dyDescent="0.3">
      <c r="A326" s="43">
        <v>20.3</v>
      </c>
      <c r="B326" s="42">
        <v>7</v>
      </c>
    </row>
    <row r="327" spans="1:2" x14ac:dyDescent="0.3">
      <c r="A327" s="43">
        <v>54</v>
      </c>
      <c r="B327" s="42">
        <v>7</v>
      </c>
    </row>
    <row r="328" spans="1:2" x14ac:dyDescent="0.3">
      <c r="A328" s="43">
        <v>63</v>
      </c>
      <c r="B328" s="42">
        <v>7</v>
      </c>
    </row>
    <row r="329" spans="1:2" x14ac:dyDescent="0.3">
      <c r="A329" s="43">
        <v>21.2</v>
      </c>
      <c r="B329" s="42">
        <v>7</v>
      </c>
    </row>
    <row r="330" spans="1:2" x14ac:dyDescent="0.3">
      <c r="A330" s="43">
        <v>30.2</v>
      </c>
      <c r="B330" s="42">
        <v>7</v>
      </c>
    </row>
    <row r="331" spans="1:2" x14ac:dyDescent="0.3">
      <c r="A331" s="43">
        <v>52.2</v>
      </c>
      <c r="B331" s="42">
        <v>7</v>
      </c>
    </row>
    <row r="332" spans="1:2" x14ac:dyDescent="0.3">
      <c r="A332" s="43">
        <v>31.5</v>
      </c>
      <c r="B332" s="42">
        <v>7</v>
      </c>
    </row>
    <row r="333" spans="1:2" x14ac:dyDescent="0.3">
      <c r="A333" s="43">
        <v>16.2</v>
      </c>
      <c r="B333" s="42">
        <v>2</v>
      </c>
    </row>
    <row r="334" spans="1:2" x14ac:dyDescent="0.3">
      <c r="A334" s="43">
        <v>17</v>
      </c>
      <c r="B334" s="42">
        <v>4</v>
      </c>
    </row>
    <row r="335" spans="1:2" x14ac:dyDescent="0.3">
      <c r="A335" s="43">
        <v>34</v>
      </c>
      <c r="B335" s="42">
        <v>4</v>
      </c>
    </row>
    <row r="336" spans="1:2" x14ac:dyDescent="0.3">
      <c r="A336" s="43">
        <v>42.5</v>
      </c>
      <c r="B336" s="42">
        <v>5.5</v>
      </c>
    </row>
    <row r="337" spans="1:2" x14ac:dyDescent="0.3">
      <c r="A337" s="43">
        <v>66.3</v>
      </c>
      <c r="B337" s="42">
        <v>8.5</v>
      </c>
    </row>
    <row r="338" spans="1:2" x14ac:dyDescent="0.3">
      <c r="A338" s="43">
        <v>86.8</v>
      </c>
      <c r="B338" s="42">
        <v>9</v>
      </c>
    </row>
    <row r="339" spans="1:2" x14ac:dyDescent="0.3">
      <c r="A339" s="43">
        <v>86.3</v>
      </c>
      <c r="B339" s="42">
        <v>10</v>
      </c>
    </row>
    <row r="340" spans="1:2" x14ac:dyDescent="0.3">
      <c r="A340" s="43">
        <v>85</v>
      </c>
      <c r="B340" s="42">
        <v>10</v>
      </c>
    </row>
    <row r="341" spans="1:2" x14ac:dyDescent="0.3">
      <c r="A341" s="43">
        <v>37.6</v>
      </c>
      <c r="B341" s="42">
        <v>10</v>
      </c>
    </row>
    <row r="342" spans="1:2" x14ac:dyDescent="0.3">
      <c r="A342" s="43">
        <v>42</v>
      </c>
      <c r="B342" s="42">
        <v>8</v>
      </c>
    </row>
    <row r="343" spans="1:2" x14ac:dyDescent="0.3">
      <c r="A343" s="43">
        <v>108.5</v>
      </c>
      <c r="B343" s="42">
        <v>8</v>
      </c>
    </row>
    <row r="344" spans="1:2" x14ac:dyDescent="0.3">
      <c r="A344" s="43">
        <v>113.3</v>
      </c>
      <c r="B344" s="42">
        <v>10</v>
      </c>
    </row>
    <row r="345" spans="1:2" x14ac:dyDescent="0.3">
      <c r="A345" s="43">
        <v>52.6</v>
      </c>
      <c r="B345" s="42">
        <v>9</v>
      </c>
    </row>
    <row r="346" spans="1:2" x14ac:dyDescent="0.3">
      <c r="A346" s="43">
        <v>50.5</v>
      </c>
      <c r="B346" s="42">
        <v>9</v>
      </c>
    </row>
    <row r="347" spans="1:2" x14ac:dyDescent="0.3">
      <c r="A347" s="43">
        <v>104.3</v>
      </c>
      <c r="B347" s="42">
        <v>11</v>
      </c>
    </row>
    <row r="348" spans="1:2" x14ac:dyDescent="0.3">
      <c r="A348" s="43">
        <v>80.5</v>
      </c>
      <c r="B348" s="42">
        <v>11</v>
      </c>
    </row>
    <row r="349" spans="1:2" x14ac:dyDescent="0.3">
      <c r="A349" s="43">
        <v>99.6</v>
      </c>
      <c r="B349" s="42">
        <v>11</v>
      </c>
    </row>
    <row r="350" spans="1:2" x14ac:dyDescent="0.3">
      <c r="A350" s="43">
        <v>73.5</v>
      </c>
      <c r="B350" s="42">
        <v>11</v>
      </c>
    </row>
    <row r="351" spans="1:2" x14ac:dyDescent="0.3">
      <c r="A351" s="43">
        <v>91</v>
      </c>
      <c r="B351" s="42">
        <v>11</v>
      </c>
    </row>
    <row r="352" spans="1:2" x14ac:dyDescent="0.3">
      <c r="A352" s="43">
        <v>171</v>
      </c>
      <c r="B352" s="42">
        <v>14</v>
      </c>
    </row>
    <row r="353" spans="1:2" x14ac:dyDescent="0.3">
      <c r="A353" s="43">
        <v>38</v>
      </c>
      <c r="B353" s="42">
        <v>12</v>
      </c>
    </row>
    <row r="354" spans="1:2" x14ac:dyDescent="0.3">
      <c r="A354" s="43">
        <v>62.5</v>
      </c>
      <c r="B354" s="42">
        <v>7.5</v>
      </c>
    </row>
    <row r="355" spans="1:2" x14ac:dyDescent="0.3">
      <c r="A355" s="43">
        <v>44.2</v>
      </c>
      <c r="B355" s="42">
        <v>7</v>
      </c>
    </row>
    <row r="356" spans="1:2" x14ac:dyDescent="0.3">
      <c r="A356" s="43">
        <v>22</v>
      </c>
      <c r="B356" s="42">
        <v>7.5</v>
      </c>
    </row>
    <row r="357" spans="1:2" x14ac:dyDescent="0.3">
      <c r="A357" s="43">
        <v>31</v>
      </c>
      <c r="B357" s="42">
        <v>6</v>
      </c>
    </row>
    <row r="358" spans="1:2" x14ac:dyDescent="0.3">
      <c r="A358" s="43">
        <v>28.5</v>
      </c>
      <c r="B358" s="42">
        <v>6</v>
      </c>
    </row>
    <row r="359" spans="1:2" x14ac:dyDescent="0.3">
      <c r="A359" s="43">
        <v>22</v>
      </c>
      <c r="B359" s="42">
        <v>6.5</v>
      </c>
    </row>
    <row r="360" spans="1:2" x14ac:dyDescent="0.3">
      <c r="A360" s="43">
        <v>14.4</v>
      </c>
      <c r="B360" s="42">
        <v>4</v>
      </c>
    </row>
    <row r="361" spans="1:2" x14ac:dyDescent="0.3">
      <c r="A361" s="43">
        <v>34</v>
      </c>
      <c r="B361" s="42">
        <v>6</v>
      </c>
    </row>
    <row r="362" spans="1:2" x14ac:dyDescent="0.3">
      <c r="A362" s="43">
        <v>37.799999999999997</v>
      </c>
      <c r="B362" s="42">
        <v>5</v>
      </c>
    </row>
    <row r="363" spans="1:2" x14ac:dyDescent="0.3">
      <c r="A363" s="43">
        <v>23.6</v>
      </c>
      <c r="B363" s="42">
        <v>4</v>
      </c>
    </row>
    <row r="364" spans="1:2" x14ac:dyDescent="0.3">
      <c r="A364" s="43">
        <v>18</v>
      </c>
      <c r="B364" s="42">
        <v>3.5</v>
      </c>
    </row>
    <row r="365" spans="1:2" x14ac:dyDescent="0.3">
      <c r="A365" s="43">
        <v>17</v>
      </c>
      <c r="B365" s="42">
        <v>4</v>
      </c>
    </row>
    <row r="366" spans="1:2" x14ac:dyDescent="0.3">
      <c r="A366" s="43">
        <v>18.3</v>
      </c>
      <c r="B366" s="42">
        <v>4.5</v>
      </c>
    </row>
    <row r="367" spans="1:2" x14ac:dyDescent="0.3">
      <c r="A367" s="43">
        <v>37</v>
      </c>
      <c r="B367" s="42">
        <v>10</v>
      </c>
    </row>
    <row r="368" spans="1:2" x14ac:dyDescent="0.3">
      <c r="A368" s="43">
        <v>82.3</v>
      </c>
      <c r="B368" s="42">
        <v>9</v>
      </c>
    </row>
    <row r="369" spans="1:2" x14ac:dyDescent="0.3">
      <c r="A369" s="43">
        <v>80.3</v>
      </c>
      <c r="B369" s="42">
        <v>8</v>
      </c>
    </row>
    <row r="370" spans="1:2" x14ac:dyDescent="0.3">
      <c r="A370" s="43">
        <v>48</v>
      </c>
      <c r="B370" s="42">
        <v>8</v>
      </c>
    </row>
    <row r="371" spans="1:2" x14ac:dyDescent="0.3">
      <c r="A371" s="43">
        <v>79.400000000000006</v>
      </c>
      <c r="B371" s="42">
        <v>10</v>
      </c>
    </row>
    <row r="372" spans="1:2" x14ac:dyDescent="0.3">
      <c r="A372" s="43">
        <v>63.5</v>
      </c>
      <c r="B372" s="42">
        <v>9</v>
      </c>
    </row>
    <row r="373" spans="1:2" x14ac:dyDescent="0.3">
      <c r="A373" s="43">
        <v>65.599999999999994</v>
      </c>
      <c r="B373" s="42">
        <v>8</v>
      </c>
    </row>
    <row r="374" spans="1:2" x14ac:dyDescent="0.3">
      <c r="A374" s="43">
        <v>75.599999999999994</v>
      </c>
      <c r="B374" s="42">
        <v>10</v>
      </c>
    </row>
    <row r="375" spans="1:2" x14ac:dyDescent="0.3">
      <c r="A375" s="43">
        <v>56.7</v>
      </c>
      <c r="B375" s="42">
        <v>9</v>
      </c>
    </row>
    <row r="376" spans="1:2" x14ac:dyDescent="0.3">
      <c r="A376" s="43">
        <v>69.5</v>
      </c>
      <c r="B376" s="42">
        <v>9</v>
      </c>
    </row>
    <row r="377" spans="1:2" x14ac:dyDescent="0.3">
      <c r="A377" s="43">
        <v>26</v>
      </c>
      <c r="B377" s="42">
        <v>8</v>
      </c>
    </row>
    <row r="378" spans="1:2" x14ac:dyDescent="0.3">
      <c r="A378" s="43">
        <v>56</v>
      </c>
      <c r="B378" s="42">
        <v>9</v>
      </c>
    </row>
    <row r="379" spans="1:2" x14ac:dyDescent="0.3">
      <c r="A379" s="43">
        <v>37.4</v>
      </c>
      <c r="B379" s="42">
        <v>8</v>
      </c>
    </row>
    <row r="380" spans="1:2" x14ac:dyDescent="0.3">
      <c r="A380" s="43">
        <v>58.8</v>
      </c>
      <c r="B380" s="42">
        <v>8</v>
      </c>
    </row>
    <row r="381" spans="1:2" x14ac:dyDescent="0.3">
      <c r="A381" s="43">
        <v>19</v>
      </c>
      <c r="B381" s="42">
        <v>8</v>
      </c>
    </row>
    <row r="382" spans="1:2" x14ac:dyDescent="0.3">
      <c r="A382" s="43">
        <v>85.5</v>
      </c>
      <c r="B382" s="42">
        <v>11</v>
      </c>
    </row>
    <row r="383" spans="1:2" x14ac:dyDescent="0.3">
      <c r="A383" s="43">
        <v>30.8</v>
      </c>
      <c r="B383" s="42">
        <v>11</v>
      </c>
    </row>
    <row r="384" spans="1:2" x14ac:dyDescent="0.3">
      <c r="A384" s="43">
        <v>70</v>
      </c>
      <c r="B384" s="42">
        <v>11</v>
      </c>
    </row>
    <row r="385" spans="1:2" x14ac:dyDescent="0.3">
      <c r="A385" s="43">
        <v>121.5</v>
      </c>
      <c r="B385" s="42">
        <v>11</v>
      </c>
    </row>
    <row r="386" spans="1:2" x14ac:dyDescent="0.3">
      <c r="A386" s="43">
        <v>76.5</v>
      </c>
      <c r="B386" s="42">
        <v>12</v>
      </c>
    </row>
    <row r="387" spans="1:2" x14ac:dyDescent="0.3">
      <c r="A387" s="43">
        <v>167.8</v>
      </c>
      <c r="B387" s="42">
        <v>14</v>
      </c>
    </row>
    <row r="388" spans="1:2" x14ac:dyDescent="0.3">
      <c r="A388" s="43">
        <v>128.19999999999999</v>
      </c>
      <c r="B388" s="42">
        <v>11</v>
      </c>
    </row>
    <row r="389" spans="1:2" x14ac:dyDescent="0.3">
      <c r="A389" s="43">
        <v>20</v>
      </c>
      <c r="B389" s="42">
        <v>7</v>
      </c>
    </row>
    <row r="390" spans="1:2" x14ac:dyDescent="0.3">
      <c r="A390" s="43">
        <v>21.5</v>
      </c>
      <c r="B390" s="42">
        <v>7</v>
      </c>
    </row>
    <row r="391" spans="1:2" x14ac:dyDescent="0.3">
      <c r="A391" s="43">
        <v>25.7</v>
      </c>
      <c r="B391" s="42">
        <v>7.5</v>
      </c>
    </row>
    <row r="392" spans="1:2" x14ac:dyDescent="0.3">
      <c r="A392" s="43">
        <v>25.2</v>
      </c>
      <c r="B392" s="42">
        <v>7</v>
      </c>
    </row>
    <row r="393" spans="1:2" x14ac:dyDescent="0.3">
      <c r="A393" s="43">
        <v>23</v>
      </c>
      <c r="B393" s="42">
        <v>7</v>
      </c>
    </row>
    <row r="394" spans="1:2" x14ac:dyDescent="0.3">
      <c r="A394" s="43">
        <v>33.200000000000003</v>
      </c>
      <c r="B394" s="42">
        <v>7</v>
      </c>
    </row>
    <row r="395" spans="1:2" x14ac:dyDescent="0.3">
      <c r="A395" s="43">
        <v>30.6</v>
      </c>
      <c r="B395" s="42">
        <v>4.5</v>
      </c>
    </row>
    <row r="396" spans="1:2" x14ac:dyDescent="0.3">
      <c r="A396" s="43">
        <v>29.3</v>
      </c>
      <c r="B396" s="42">
        <v>5</v>
      </c>
    </row>
    <row r="397" spans="1:2" x14ac:dyDescent="0.3">
      <c r="A397" s="43">
        <v>43</v>
      </c>
      <c r="B397" s="42">
        <v>6.5</v>
      </c>
    </row>
    <row r="398" spans="1:2" x14ac:dyDescent="0.3">
      <c r="A398" s="43">
        <v>28.5</v>
      </c>
      <c r="B398" s="42">
        <v>6</v>
      </c>
    </row>
    <row r="399" spans="1:2" x14ac:dyDescent="0.3">
      <c r="A399" s="43">
        <v>18.600000000000001</v>
      </c>
      <c r="B399" s="42">
        <v>5</v>
      </c>
    </row>
    <row r="400" spans="1:2" x14ac:dyDescent="0.3">
      <c r="A400" s="43">
        <v>69</v>
      </c>
      <c r="B400" s="42">
        <v>10</v>
      </c>
    </row>
    <row r="401" spans="1:2" x14ac:dyDescent="0.3">
      <c r="A401" s="43">
        <v>94.3</v>
      </c>
      <c r="B401" s="42">
        <v>10</v>
      </c>
    </row>
    <row r="402" spans="1:2" x14ac:dyDescent="0.3">
      <c r="A402" s="43">
        <v>50.6</v>
      </c>
      <c r="B402" s="42">
        <v>8</v>
      </c>
    </row>
    <row r="403" spans="1:2" x14ac:dyDescent="0.3">
      <c r="A403" s="43">
        <v>54</v>
      </c>
      <c r="B403" s="42">
        <v>8</v>
      </c>
    </row>
    <row r="404" spans="1:2" x14ac:dyDescent="0.3">
      <c r="A404" s="43">
        <v>41.1</v>
      </c>
      <c r="B404" s="42">
        <v>10</v>
      </c>
    </row>
    <row r="405" spans="1:2" x14ac:dyDescent="0.3">
      <c r="A405" s="43">
        <v>27.3</v>
      </c>
      <c r="B405" s="42">
        <v>8</v>
      </c>
    </row>
    <row r="406" spans="1:2" x14ac:dyDescent="0.3">
      <c r="A406" s="43">
        <v>53.8</v>
      </c>
      <c r="B406" s="42">
        <v>9</v>
      </c>
    </row>
    <row r="407" spans="1:2" x14ac:dyDescent="0.3">
      <c r="A407" s="43">
        <v>43.8</v>
      </c>
      <c r="B407" s="42">
        <v>9</v>
      </c>
    </row>
    <row r="408" spans="1:2" x14ac:dyDescent="0.3">
      <c r="A408" s="43">
        <v>32</v>
      </c>
      <c r="B408" s="42">
        <v>8.5</v>
      </c>
    </row>
    <row r="409" spans="1:2" x14ac:dyDescent="0.3">
      <c r="A409" s="43">
        <v>80.7</v>
      </c>
      <c r="B409" s="42">
        <v>11</v>
      </c>
    </row>
    <row r="410" spans="1:2" x14ac:dyDescent="0.3">
      <c r="A410" s="43">
        <v>88.5</v>
      </c>
      <c r="B410" s="42">
        <v>11</v>
      </c>
    </row>
    <row r="411" spans="1:2" x14ac:dyDescent="0.3">
      <c r="A411" s="43">
        <v>42.2</v>
      </c>
      <c r="B411" s="42">
        <v>13</v>
      </c>
    </row>
    <row r="412" spans="1:2" x14ac:dyDescent="0.3">
      <c r="A412" s="43">
        <v>30</v>
      </c>
      <c r="B412" s="42">
        <v>7.5</v>
      </c>
    </row>
    <row r="413" spans="1:2" x14ac:dyDescent="0.3">
      <c r="A413" s="43">
        <v>34</v>
      </c>
      <c r="B413" s="42">
        <v>7.5</v>
      </c>
    </row>
    <row r="414" spans="1:2" x14ac:dyDescent="0.3">
      <c r="A414" s="43">
        <v>24.8</v>
      </c>
      <c r="B414" s="42">
        <v>6</v>
      </c>
    </row>
    <row r="415" spans="1:2" x14ac:dyDescent="0.3">
      <c r="A415" s="43">
        <v>61.5</v>
      </c>
      <c r="B415" s="42">
        <v>6</v>
      </c>
    </row>
    <row r="416" spans="1:2" x14ac:dyDescent="0.3">
      <c r="A416" s="43">
        <v>40.799999999999997</v>
      </c>
      <c r="B416" s="42">
        <v>2</v>
      </c>
    </row>
    <row r="417" spans="1:2" x14ac:dyDescent="0.3">
      <c r="A417" s="43">
        <v>20.8</v>
      </c>
      <c r="B417" s="42">
        <v>5</v>
      </c>
    </row>
    <row r="418" spans="1:2" x14ac:dyDescent="0.3">
      <c r="A418" s="43">
        <v>25</v>
      </c>
      <c r="B418" s="42">
        <v>4.5</v>
      </c>
    </row>
    <row r="419" spans="1:2" x14ac:dyDescent="0.3">
      <c r="A419" s="43">
        <v>21</v>
      </c>
      <c r="B419" s="42">
        <v>4</v>
      </c>
    </row>
    <row r="420" spans="1:2" x14ac:dyDescent="0.3">
      <c r="A420" s="43">
        <v>22.5</v>
      </c>
      <c r="B420" s="42">
        <v>4.5</v>
      </c>
    </row>
    <row r="421" spans="1:2" x14ac:dyDescent="0.3">
      <c r="A421" s="43">
        <v>18</v>
      </c>
      <c r="B421" s="42">
        <v>4</v>
      </c>
    </row>
    <row r="422" spans="1:2" x14ac:dyDescent="0.3">
      <c r="A422" s="43">
        <v>58.4</v>
      </c>
      <c r="B422" s="42">
        <v>10</v>
      </c>
    </row>
    <row r="423" spans="1:2" x14ac:dyDescent="0.3">
      <c r="A423" s="43">
        <v>94.5</v>
      </c>
      <c r="B423" s="42">
        <v>10</v>
      </c>
    </row>
    <row r="424" spans="1:2" x14ac:dyDescent="0.3">
      <c r="A424" s="43">
        <v>42.3</v>
      </c>
      <c r="B424" s="42">
        <v>8</v>
      </c>
    </row>
    <row r="425" spans="1:2" x14ac:dyDescent="0.3">
      <c r="A425" s="43">
        <v>69.7</v>
      </c>
      <c r="B425" s="42">
        <v>9</v>
      </c>
    </row>
    <row r="426" spans="1:2" x14ac:dyDescent="0.3">
      <c r="A426" s="43">
        <v>59.5</v>
      </c>
      <c r="B426" s="42">
        <v>10</v>
      </c>
    </row>
    <row r="427" spans="1:2" x14ac:dyDescent="0.3">
      <c r="A427" s="43">
        <v>35.6</v>
      </c>
      <c r="B427" s="42">
        <v>8</v>
      </c>
    </row>
    <row r="428" spans="1:2" x14ac:dyDescent="0.3">
      <c r="A428" s="43">
        <v>143.6</v>
      </c>
      <c r="B428" s="42">
        <v>14</v>
      </c>
    </row>
    <row r="429" spans="1:2" x14ac:dyDescent="0.3">
      <c r="A429" s="43">
        <v>64.5</v>
      </c>
      <c r="B429" s="42">
        <v>11</v>
      </c>
    </row>
    <row r="430" spans="1:2" x14ac:dyDescent="0.3">
      <c r="A430" s="43">
        <v>18.5</v>
      </c>
      <c r="B430" s="42">
        <v>7</v>
      </c>
    </row>
    <row r="431" spans="1:2" x14ac:dyDescent="0.3">
      <c r="A431" s="43">
        <v>43</v>
      </c>
      <c r="B431" s="42">
        <v>7.5</v>
      </c>
    </row>
    <row r="432" spans="1:2" x14ac:dyDescent="0.3">
      <c r="A432" s="43">
        <v>25.7</v>
      </c>
      <c r="B432" s="42">
        <v>7</v>
      </c>
    </row>
    <row r="433" spans="1:2" x14ac:dyDescent="0.3">
      <c r="A433" s="43">
        <v>62</v>
      </c>
      <c r="B433" s="42">
        <v>7</v>
      </c>
    </row>
    <row r="434" spans="1:2" x14ac:dyDescent="0.3">
      <c r="A434" s="43">
        <v>18.8</v>
      </c>
      <c r="B434" s="42">
        <v>4</v>
      </c>
    </row>
    <row r="435" spans="1:2" x14ac:dyDescent="0.3">
      <c r="A435" s="43">
        <v>18.8</v>
      </c>
      <c r="B435" s="42">
        <v>5</v>
      </c>
    </row>
    <row r="436" spans="1:2" x14ac:dyDescent="0.3">
      <c r="A436" s="43">
        <v>17.2</v>
      </c>
      <c r="B436" s="42">
        <v>4.5</v>
      </c>
    </row>
    <row r="437" spans="1:2" x14ac:dyDescent="0.3">
      <c r="A437" s="43">
        <v>33</v>
      </c>
      <c r="B437" s="42">
        <v>5.5</v>
      </c>
    </row>
    <row r="438" spans="1:2" x14ac:dyDescent="0.3">
      <c r="A438" s="43">
        <v>19.2</v>
      </c>
      <c r="B438" s="42">
        <v>4</v>
      </c>
    </row>
    <row r="439" spans="1:2" x14ac:dyDescent="0.3">
      <c r="A439" s="43">
        <v>23.8</v>
      </c>
      <c r="B439" s="42">
        <v>6</v>
      </c>
    </row>
    <row r="440" spans="1:2" x14ac:dyDescent="0.3">
      <c r="A440" s="43">
        <v>100.8</v>
      </c>
      <c r="B440" s="42">
        <v>10</v>
      </c>
    </row>
    <row r="441" spans="1:2" x14ac:dyDescent="0.3">
      <c r="A441" s="43">
        <v>64.599999999999994</v>
      </c>
      <c r="B441" s="42">
        <v>10</v>
      </c>
    </row>
    <row r="442" spans="1:2" x14ac:dyDescent="0.3">
      <c r="A442" s="43">
        <v>80.099999999999994</v>
      </c>
      <c r="B442" s="42">
        <v>10</v>
      </c>
    </row>
    <row r="443" spans="1:2" x14ac:dyDescent="0.3">
      <c r="A443" s="43">
        <v>81</v>
      </c>
      <c r="B443" s="42">
        <v>10</v>
      </c>
    </row>
    <row r="444" spans="1:2" x14ac:dyDescent="0.3">
      <c r="A444" s="43">
        <v>66</v>
      </c>
      <c r="B444" s="42">
        <v>9</v>
      </c>
    </row>
    <row r="445" spans="1:2" x14ac:dyDescent="0.3">
      <c r="A445" s="43">
        <v>74.7</v>
      </c>
      <c r="B445" s="42">
        <v>10</v>
      </c>
    </row>
    <row r="446" spans="1:2" x14ac:dyDescent="0.3">
      <c r="A446" s="43">
        <v>54.2</v>
      </c>
      <c r="B446" s="42">
        <v>9</v>
      </c>
    </row>
    <row r="447" spans="1:2" x14ac:dyDescent="0.3">
      <c r="A447" s="43">
        <v>75.2</v>
      </c>
      <c r="B447" s="42">
        <v>8</v>
      </c>
    </row>
    <row r="448" spans="1:2" x14ac:dyDescent="0.3">
      <c r="A448" s="43">
        <v>52.7</v>
      </c>
      <c r="B448" s="42">
        <v>9</v>
      </c>
    </row>
    <row r="449" spans="1:2" x14ac:dyDescent="0.3">
      <c r="A449" s="43">
        <v>87.8</v>
      </c>
      <c r="B449" s="42">
        <v>13</v>
      </c>
    </row>
    <row r="450" spans="1:2" x14ac:dyDescent="0.3">
      <c r="A450" s="43">
        <v>17.899999999999999</v>
      </c>
      <c r="B450" s="42">
        <v>11</v>
      </c>
    </row>
    <row r="451" spans="1:2" x14ac:dyDescent="0.3">
      <c r="A451" s="43">
        <v>169.5</v>
      </c>
      <c r="B451" s="42">
        <v>14</v>
      </c>
    </row>
    <row r="452" spans="1:2" x14ac:dyDescent="0.3">
      <c r="A452" s="43">
        <v>31.7</v>
      </c>
      <c r="B452" s="42">
        <v>4</v>
      </c>
    </row>
    <row r="453" spans="1:2" x14ac:dyDescent="0.3">
      <c r="A453" s="43">
        <v>29.3</v>
      </c>
      <c r="B453" s="42">
        <v>5.5</v>
      </c>
    </row>
    <row r="454" spans="1:2" x14ac:dyDescent="0.3">
      <c r="A454" s="43">
        <v>23</v>
      </c>
      <c r="B454" s="42">
        <v>5</v>
      </c>
    </row>
    <row r="455" spans="1:2" x14ac:dyDescent="0.3">
      <c r="A455" s="43">
        <v>18</v>
      </c>
      <c r="B455" s="42">
        <v>4</v>
      </c>
    </row>
    <row r="456" spans="1:2" x14ac:dyDescent="0.3">
      <c r="A456" s="43">
        <v>20</v>
      </c>
      <c r="B456" s="42">
        <v>5</v>
      </c>
    </row>
    <row r="457" spans="1:2" x14ac:dyDescent="0.3">
      <c r="A457" s="43">
        <v>22.2</v>
      </c>
      <c r="B457" s="42">
        <v>3.5</v>
      </c>
    </row>
    <row r="458" spans="1:2" x14ac:dyDescent="0.3">
      <c r="A458" s="43">
        <v>23.7</v>
      </c>
      <c r="B458" s="42">
        <v>5</v>
      </c>
    </row>
    <row r="459" spans="1:2" x14ac:dyDescent="0.3">
      <c r="A459" s="43">
        <v>121.1</v>
      </c>
      <c r="B459" s="42">
        <v>10</v>
      </c>
    </row>
    <row r="460" spans="1:2" x14ac:dyDescent="0.3">
      <c r="A460" s="43">
        <v>69.8</v>
      </c>
      <c r="B460" s="42">
        <v>8</v>
      </c>
    </row>
    <row r="461" spans="1:2" x14ac:dyDescent="0.3">
      <c r="A461" s="43">
        <v>53.7</v>
      </c>
      <c r="B461" s="42">
        <v>8.5</v>
      </c>
    </row>
    <row r="462" spans="1:2" x14ac:dyDescent="0.3">
      <c r="A462" s="43">
        <v>36.9</v>
      </c>
      <c r="B462" s="42">
        <v>8</v>
      </c>
    </row>
    <row r="463" spans="1:2" x14ac:dyDescent="0.3">
      <c r="A463" s="43">
        <v>46</v>
      </c>
      <c r="B463" s="42">
        <v>10</v>
      </c>
    </row>
    <row r="464" spans="1:2" x14ac:dyDescent="0.3">
      <c r="A464" s="43">
        <v>66.2</v>
      </c>
      <c r="B464" s="42">
        <v>10</v>
      </c>
    </row>
    <row r="465" spans="1:2" x14ac:dyDescent="0.3">
      <c r="A465" s="43">
        <v>64.099999999999994</v>
      </c>
      <c r="B465" s="42">
        <v>9</v>
      </c>
    </row>
    <row r="466" spans="1:2" x14ac:dyDescent="0.3">
      <c r="A466" s="43">
        <v>44.6</v>
      </c>
      <c r="B466" s="42">
        <v>8.5</v>
      </c>
    </row>
    <row r="467" spans="1:2" x14ac:dyDescent="0.3">
      <c r="A467" s="43">
        <v>137</v>
      </c>
      <c r="B467" s="42">
        <v>9.5</v>
      </c>
    </row>
    <row r="468" spans="1:2" x14ac:dyDescent="0.3">
      <c r="A468" s="43">
        <v>71.5</v>
      </c>
      <c r="B468" s="42">
        <v>10</v>
      </c>
    </row>
    <row r="469" spans="1:2" x14ac:dyDescent="0.3">
      <c r="A469" s="43">
        <v>77.5</v>
      </c>
      <c r="B469" s="42">
        <v>11</v>
      </c>
    </row>
    <row r="470" spans="1:2" x14ac:dyDescent="0.3">
      <c r="A470" s="43">
        <v>51</v>
      </c>
      <c r="B470" s="42">
        <v>7</v>
      </c>
    </row>
    <row r="471" spans="1:2" x14ac:dyDescent="0.3">
      <c r="A471" s="43">
        <v>25</v>
      </c>
      <c r="B471" s="42">
        <v>6</v>
      </c>
    </row>
    <row r="472" spans="1:2" x14ac:dyDescent="0.3">
      <c r="A472" s="43">
        <v>30</v>
      </c>
      <c r="B472" s="42">
        <v>3</v>
      </c>
    </row>
    <row r="473" spans="1:2" x14ac:dyDescent="0.3">
      <c r="A473" s="43">
        <v>35.5</v>
      </c>
      <c r="B473" s="42">
        <v>6</v>
      </c>
    </row>
    <row r="474" spans="1:2" x14ac:dyDescent="0.3">
      <c r="A474" s="43">
        <v>22.4</v>
      </c>
      <c r="B474" s="42">
        <v>6.5</v>
      </c>
    </row>
    <row r="475" spans="1:2" x14ac:dyDescent="0.3">
      <c r="A475" s="43">
        <v>51.2</v>
      </c>
      <c r="B475" s="42">
        <v>5</v>
      </c>
    </row>
    <row r="476" spans="1:2" x14ac:dyDescent="0.3">
      <c r="A476" s="43">
        <v>34.799999999999997</v>
      </c>
      <c r="B476" s="42">
        <v>5</v>
      </c>
    </row>
    <row r="477" spans="1:2" x14ac:dyDescent="0.3">
      <c r="A477" s="43">
        <v>29</v>
      </c>
      <c r="B477" s="42">
        <v>6</v>
      </c>
    </row>
    <row r="478" spans="1:2" x14ac:dyDescent="0.3">
      <c r="A478" s="43">
        <v>16.7</v>
      </c>
      <c r="B478" s="42">
        <v>5</v>
      </c>
    </row>
    <row r="479" spans="1:2" x14ac:dyDescent="0.3">
      <c r="A479" s="43">
        <v>21.2</v>
      </c>
      <c r="B479" s="42">
        <v>5</v>
      </c>
    </row>
    <row r="480" spans="1:2" x14ac:dyDescent="0.3">
      <c r="A480" s="43">
        <v>21.1</v>
      </c>
      <c r="B480" s="42">
        <v>4.5</v>
      </c>
    </row>
    <row r="481" spans="1:2" x14ac:dyDescent="0.3">
      <c r="A481" s="43">
        <v>19.600000000000001</v>
      </c>
      <c r="B481" s="42">
        <v>5</v>
      </c>
    </row>
    <row r="482" spans="1:2" x14ac:dyDescent="0.3">
      <c r="A482" s="43">
        <v>26</v>
      </c>
      <c r="B482" s="42">
        <v>5</v>
      </c>
    </row>
    <row r="483" spans="1:2" x14ac:dyDescent="0.3">
      <c r="A483" s="43">
        <v>17.2</v>
      </c>
      <c r="B483" s="42">
        <v>3</v>
      </c>
    </row>
    <row r="484" spans="1:2" x14ac:dyDescent="0.3">
      <c r="A484" s="43">
        <v>49.9</v>
      </c>
      <c r="B484" s="42">
        <v>9</v>
      </c>
    </row>
    <row r="485" spans="1:2" x14ac:dyDescent="0.3">
      <c r="A485" s="43">
        <v>52.3</v>
      </c>
      <c r="B485" s="42">
        <v>9</v>
      </c>
    </row>
    <row r="486" spans="1:2" x14ac:dyDescent="0.3">
      <c r="A486" s="43">
        <v>62.5</v>
      </c>
      <c r="B486" s="42">
        <v>9</v>
      </c>
    </row>
    <row r="487" spans="1:2" x14ac:dyDescent="0.3">
      <c r="A487" s="43">
        <v>83.2</v>
      </c>
      <c r="B487" s="42">
        <v>8</v>
      </c>
    </row>
    <row r="488" spans="1:2" x14ac:dyDescent="0.3">
      <c r="A488" s="43">
        <v>39.700000000000003</v>
      </c>
      <c r="B488" s="42">
        <v>8</v>
      </c>
    </row>
    <row r="489" spans="1:2" x14ac:dyDescent="0.3">
      <c r="A489" s="43">
        <v>129</v>
      </c>
      <c r="B489" s="42">
        <v>12</v>
      </c>
    </row>
    <row r="490" spans="1:2" x14ac:dyDescent="0.3">
      <c r="A490" s="43">
        <v>24.8</v>
      </c>
      <c r="B490" s="42">
        <v>13</v>
      </c>
    </row>
    <row r="491" spans="1:2" x14ac:dyDescent="0.3">
      <c r="A491" s="43">
        <v>127.4</v>
      </c>
      <c r="B491" s="42">
        <v>13</v>
      </c>
    </row>
    <row r="492" spans="1:2" x14ac:dyDescent="0.3">
      <c r="A492" s="43">
        <v>59.7</v>
      </c>
      <c r="B492" s="42">
        <v>7</v>
      </c>
    </row>
    <row r="493" spans="1:2" x14ac:dyDescent="0.3">
      <c r="A493" s="43">
        <v>44.1</v>
      </c>
      <c r="B493" s="42">
        <v>7</v>
      </c>
    </row>
    <row r="494" spans="1:2" x14ac:dyDescent="0.3">
      <c r="A494" s="43">
        <v>30.8</v>
      </c>
      <c r="B494" s="42">
        <v>6.5</v>
      </c>
    </row>
    <row r="495" spans="1:2" x14ac:dyDescent="0.3">
      <c r="A495" s="43">
        <v>28</v>
      </c>
      <c r="B495" s="42">
        <v>6</v>
      </c>
    </row>
    <row r="496" spans="1:2" x14ac:dyDescent="0.3">
      <c r="A496" s="43">
        <v>25</v>
      </c>
      <c r="B496" s="42">
        <v>5</v>
      </c>
    </row>
    <row r="497" spans="1:2" x14ac:dyDescent="0.3">
      <c r="A497" s="43">
        <v>16.3</v>
      </c>
      <c r="B497" s="42">
        <v>3.5</v>
      </c>
    </row>
    <row r="498" spans="1:2" x14ac:dyDescent="0.3">
      <c r="A498" s="43">
        <v>19.3</v>
      </c>
      <c r="B498" s="42">
        <v>4</v>
      </c>
    </row>
    <row r="499" spans="1:2" x14ac:dyDescent="0.3">
      <c r="A499" s="43">
        <v>54.5</v>
      </c>
      <c r="B499" s="42">
        <v>9</v>
      </c>
    </row>
    <row r="500" spans="1:2" x14ac:dyDescent="0.3">
      <c r="A500" s="43">
        <v>52.7</v>
      </c>
      <c r="B500" s="42">
        <v>8</v>
      </c>
    </row>
    <row r="501" spans="1:2" x14ac:dyDescent="0.3">
      <c r="A501" s="43">
        <v>102.5</v>
      </c>
      <c r="B501" s="42">
        <v>13</v>
      </c>
    </row>
    <row r="502" spans="1:2" ht="16.2" thickBot="1" x14ac:dyDescent="0.35">
      <c r="A502" s="45">
        <v>37.700000000000003</v>
      </c>
      <c r="B502" s="46">
        <v>13</v>
      </c>
    </row>
    <row r="503" spans="1:2" x14ac:dyDescent="0.3">
      <c r="B503" s="19"/>
    </row>
    <row r="504" spans="1:2" x14ac:dyDescent="0.3">
      <c r="B504" s="19"/>
    </row>
    <row r="505" spans="1:2" x14ac:dyDescent="0.3">
      <c r="B505" s="19"/>
    </row>
    <row r="506" spans="1:2" x14ac:dyDescent="0.3">
      <c r="B506" s="19"/>
    </row>
    <row r="507" spans="1:2" x14ac:dyDescent="0.3">
      <c r="B507" s="19"/>
    </row>
    <row r="508" spans="1:2" x14ac:dyDescent="0.3">
      <c r="B508" s="19"/>
    </row>
    <row r="509" spans="1:2" x14ac:dyDescent="0.3">
      <c r="B509" s="19"/>
    </row>
    <row r="510" spans="1:2" x14ac:dyDescent="0.3">
      <c r="B510" s="19"/>
    </row>
    <row r="511" spans="1:2" x14ac:dyDescent="0.3">
      <c r="B511" s="19"/>
    </row>
    <row r="512" spans="1:2" x14ac:dyDescent="0.3">
      <c r="B512" s="19"/>
    </row>
    <row r="513" spans="2:2" x14ac:dyDescent="0.3">
      <c r="B513" s="19"/>
    </row>
    <row r="514" spans="2:2" x14ac:dyDescent="0.3">
      <c r="B514" s="19"/>
    </row>
    <row r="515" spans="2:2" x14ac:dyDescent="0.3">
      <c r="B515" s="19"/>
    </row>
    <row r="516" spans="2:2" x14ac:dyDescent="0.3">
      <c r="B516" s="19"/>
    </row>
    <row r="517" spans="2:2" x14ac:dyDescent="0.3">
      <c r="B517" s="19"/>
    </row>
    <row r="518" spans="2:2" x14ac:dyDescent="0.3">
      <c r="B518" s="19"/>
    </row>
    <row r="519" spans="2:2" x14ac:dyDescent="0.3">
      <c r="B519" s="19"/>
    </row>
    <row r="520" spans="2:2" x14ac:dyDescent="0.3">
      <c r="B520" s="19"/>
    </row>
    <row r="521" spans="2:2" x14ac:dyDescent="0.3">
      <c r="B521" s="19"/>
    </row>
    <row r="522" spans="2:2" x14ac:dyDescent="0.3">
      <c r="B522" s="19"/>
    </row>
    <row r="523" spans="2:2" x14ac:dyDescent="0.3">
      <c r="B523" s="19"/>
    </row>
    <row r="524" spans="2:2" x14ac:dyDescent="0.3">
      <c r="B524" s="19"/>
    </row>
    <row r="525" spans="2:2" x14ac:dyDescent="0.3">
      <c r="B525" s="19"/>
    </row>
    <row r="526" spans="2:2" x14ac:dyDescent="0.3">
      <c r="B526" s="19"/>
    </row>
    <row r="527" spans="2:2" x14ac:dyDescent="0.3">
      <c r="B527" s="19"/>
    </row>
    <row r="528" spans="2:2" x14ac:dyDescent="0.3">
      <c r="B528" s="19"/>
    </row>
    <row r="529" spans="2:2" x14ac:dyDescent="0.3">
      <c r="B529" s="19"/>
    </row>
    <row r="530" spans="2:2" x14ac:dyDescent="0.3">
      <c r="B530" s="19"/>
    </row>
    <row r="531" spans="2:2" x14ac:dyDescent="0.3">
      <c r="B531" s="19"/>
    </row>
    <row r="532" spans="2:2" x14ac:dyDescent="0.3">
      <c r="B532" s="19"/>
    </row>
    <row r="533" spans="2:2" x14ac:dyDescent="0.3">
      <c r="B533" s="19"/>
    </row>
    <row r="534" spans="2:2" x14ac:dyDescent="0.3">
      <c r="B534" s="19"/>
    </row>
    <row r="535" spans="2:2" x14ac:dyDescent="0.3">
      <c r="B535" s="19"/>
    </row>
    <row r="536" spans="2:2" x14ac:dyDescent="0.3">
      <c r="B536" s="19"/>
    </row>
    <row r="537" spans="2:2" x14ac:dyDescent="0.3">
      <c r="B537" s="19"/>
    </row>
    <row r="538" spans="2:2" x14ac:dyDescent="0.3">
      <c r="B538" s="19"/>
    </row>
    <row r="539" spans="2:2" x14ac:dyDescent="0.3">
      <c r="B539" s="19"/>
    </row>
    <row r="540" spans="2:2" x14ac:dyDescent="0.3">
      <c r="B540" s="19"/>
    </row>
    <row r="541" spans="2:2" x14ac:dyDescent="0.3">
      <c r="B541" s="19"/>
    </row>
    <row r="542" spans="2:2" x14ac:dyDescent="0.3">
      <c r="B542" s="19"/>
    </row>
    <row r="543" spans="2:2" x14ac:dyDescent="0.3">
      <c r="B543" s="19"/>
    </row>
    <row r="544" spans="2:2" x14ac:dyDescent="0.3">
      <c r="B544" s="19"/>
    </row>
    <row r="545" spans="2:2" x14ac:dyDescent="0.3">
      <c r="B545" s="19"/>
    </row>
    <row r="546" spans="2:2" x14ac:dyDescent="0.3">
      <c r="B546" s="19"/>
    </row>
    <row r="547" spans="2:2" x14ac:dyDescent="0.3">
      <c r="B547" s="19"/>
    </row>
    <row r="548" spans="2:2" x14ac:dyDescent="0.3">
      <c r="B548" s="19"/>
    </row>
    <row r="549" spans="2:2" x14ac:dyDescent="0.3">
      <c r="B549" s="19"/>
    </row>
    <row r="550" spans="2:2" x14ac:dyDescent="0.3">
      <c r="B550" s="19"/>
    </row>
    <row r="551" spans="2:2" x14ac:dyDescent="0.3">
      <c r="B551" s="19"/>
    </row>
    <row r="552" spans="2:2" x14ac:dyDescent="0.3">
      <c r="B552" s="19"/>
    </row>
    <row r="553" spans="2:2" x14ac:dyDescent="0.3">
      <c r="B553" s="19"/>
    </row>
    <row r="554" spans="2:2" x14ac:dyDescent="0.3">
      <c r="B554" s="19"/>
    </row>
    <row r="555" spans="2:2" x14ac:dyDescent="0.3">
      <c r="B555" s="19"/>
    </row>
    <row r="556" spans="2:2" x14ac:dyDescent="0.3">
      <c r="B556" s="19"/>
    </row>
    <row r="557" spans="2:2" x14ac:dyDescent="0.3">
      <c r="B557" s="19"/>
    </row>
    <row r="558" spans="2:2" x14ac:dyDescent="0.3">
      <c r="B558" s="19"/>
    </row>
    <row r="559" spans="2:2" x14ac:dyDescent="0.3">
      <c r="B559" s="19"/>
    </row>
    <row r="560" spans="2:2" x14ac:dyDescent="0.3">
      <c r="B560" s="19"/>
    </row>
    <row r="561" spans="2:2" x14ac:dyDescent="0.3">
      <c r="B561" s="19"/>
    </row>
    <row r="562" spans="2:2" x14ac:dyDescent="0.3">
      <c r="B562" s="19"/>
    </row>
    <row r="563" spans="2:2" x14ac:dyDescent="0.3">
      <c r="B563" s="19"/>
    </row>
    <row r="564" spans="2:2" x14ac:dyDescent="0.3">
      <c r="B564" s="19"/>
    </row>
    <row r="565" spans="2:2" x14ac:dyDescent="0.3">
      <c r="B565" s="19"/>
    </row>
    <row r="566" spans="2:2" x14ac:dyDescent="0.3">
      <c r="B566" s="19"/>
    </row>
    <row r="567" spans="2:2" x14ac:dyDescent="0.3">
      <c r="B567" s="19"/>
    </row>
    <row r="568" spans="2:2" x14ac:dyDescent="0.3">
      <c r="B568" s="19"/>
    </row>
    <row r="569" spans="2:2" x14ac:dyDescent="0.3">
      <c r="B569" s="19"/>
    </row>
    <row r="570" spans="2:2" x14ac:dyDescent="0.3">
      <c r="B570" s="19"/>
    </row>
    <row r="571" spans="2:2" x14ac:dyDescent="0.3">
      <c r="B571" s="19"/>
    </row>
    <row r="572" spans="2:2" x14ac:dyDescent="0.3">
      <c r="B572" s="19"/>
    </row>
    <row r="573" spans="2:2" x14ac:dyDescent="0.3">
      <c r="B573" s="19"/>
    </row>
    <row r="574" spans="2:2" x14ac:dyDescent="0.3">
      <c r="B574" s="19"/>
    </row>
    <row r="575" spans="2:2" x14ac:dyDescent="0.3">
      <c r="B575" s="19"/>
    </row>
    <row r="576" spans="2:2" x14ac:dyDescent="0.3">
      <c r="B576" s="19"/>
    </row>
    <row r="577" spans="2:2" x14ac:dyDescent="0.3">
      <c r="B577" s="19"/>
    </row>
    <row r="578" spans="2:2" x14ac:dyDescent="0.3">
      <c r="B578" s="19"/>
    </row>
    <row r="579" spans="2:2" x14ac:dyDescent="0.3">
      <c r="B579" s="19"/>
    </row>
    <row r="580" spans="2:2" x14ac:dyDescent="0.3">
      <c r="B580" s="19"/>
    </row>
    <row r="581" spans="2:2" x14ac:dyDescent="0.3">
      <c r="B581" s="19"/>
    </row>
    <row r="582" spans="2:2" x14ac:dyDescent="0.3">
      <c r="B582" s="19"/>
    </row>
    <row r="583" spans="2:2" x14ac:dyDescent="0.3">
      <c r="B583" s="19"/>
    </row>
    <row r="584" spans="2:2" x14ac:dyDescent="0.3">
      <c r="B584" s="19"/>
    </row>
    <row r="585" spans="2:2" x14ac:dyDescent="0.3">
      <c r="B585" s="19"/>
    </row>
    <row r="586" spans="2:2" x14ac:dyDescent="0.3">
      <c r="B586" s="19"/>
    </row>
    <row r="587" spans="2:2" x14ac:dyDescent="0.3">
      <c r="B587" s="19"/>
    </row>
    <row r="588" spans="2:2" x14ac:dyDescent="0.3">
      <c r="B588" s="19"/>
    </row>
    <row r="589" spans="2:2" x14ac:dyDescent="0.3">
      <c r="B589" s="19"/>
    </row>
    <row r="590" spans="2:2" x14ac:dyDescent="0.3">
      <c r="B590" s="19"/>
    </row>
    <row r="591" spans="2:2" x14ac:dyDescent="0.3">
      <c r="B591" s="19"/>
    </row>
    <row r="592" spans="2:2" x14ac:dyDescent="0.3">
      <c r="B592" s="19"/>
    </row>
    <row r="593" spans="2:2" x14ac:dyDescent="0.3">
      <c r="B593" s="19"/>
    </row>
    <row r="594" spans="2:2" x14ac:dyDescent="0.3">
      <c r="B594" s="19"/>
    </row>
    <row r="595" spans="2:2" x14ac:dyDescent="0.3">
      <c r="B595" s="19"/>
    </row>
    <row r="596" spans="2:2" x14ac:dyDescent="0.3">
      <c r="B596" s="19"/>
    </row>
    <row r="597" spans="2:2" x14ac:dyDescent="0.3">
      <c r="B597" s="19"/>
    </row>
    <row r="598" spans="2:2" x14ac:dyDescent="0.3">
      <c r="B598" s="19"/>
    </row>
    <row r="599" spans="2:2" x14ac:dyDescent="0.3">
      <c r="B599" s="19"/>
    </row>
    <row r="600" spans="2:2" x14ac:dyDescent="0.3">
      <c r="B600" s="19"/>
    </row>
    <row r="601" spans="2:2" x14ac:dyDescent="0.3">
      <c r="B601" s="19"/>
    </row>
    <row r="602" spans="2:2" x14ac:dyDescent="0.3">
      <c r="B602" s="19"/>
    </row>
    <row r="603" spans="2:2" x14ac:dyDescent="0.3">
      <c r="B603" s="19"/>
    </row>
    <row r="604" spans="2:2" x14ac:dyDescent="0.3">
      <c r="B604" s="19"/>
    </row>
    <row r="605" spans="2:2" x14ac:dyDescent="0.3">
      <c r="B605" s="19"/>
    </row>
    <row r="606" spans="2:2" x14ac:dyDescent="0.3">
      <c r="B606" s="19"/>
    </row>
    <row r="607" spans="2:2" x14ac:dyDescent="0.3">
      <c r="B607" s="19"/>
    </row>
    <row r="608" spans="2:2" x14ac:dyDescent="0.3">
      <c r="B608" s="19"/>
    </row>
    <row r="609" spans="2:2" x14ac:dyDescent="0.3">
      <c r="B609" s="19"/>
    </row>
    <row r="610" spans="2:2" x14ac:dyDescent="0.3">
      <c r="B610" s="19"/>
    </row>
    <row r="611" spans="2:2" x14ac:dyDescent="0.3">
      <c r="B611" s="19"/>
    </row>
    <row r="612" spans="2:2" x14ac:dyDescent="0.3">
      <c r="B612" s="19"/>
    </row>
    <row r="613" spans="2:2" x14ac:dyDescent="0.3">
      <c r="B613" s="19"/>
    </row>
    <row r="614" spans="2:2" x14ac:dyDescent="0.3">
      <c r="B614" s="19"/>
    </row>
    <row r="615" spans="2:2" x14ac:dyDescent="0.3">
      <c r="B615" s="19"/>
    </row>
    <row r="616" spans="2:2" x14ac:dyDescent="0.3">
      <c r="B616" s="19"/>
    </row>
    <row r="617" spans="2:2" x14ac:dyDescent="0.3">
      <c r="B617" s="19"/>
    </row>
    <row r="618" spans="2:2" x14ac:dyDescent="0.3">
      <c r="B618" s="19"/>
    </row>
    <row r="619" spans="2:2" x14ac:dyDescent="0.3">
      <c r="B619" s="19"/>
    </row>
    <row r="620" spans="2:2" x14ac:dyDescent="0.3">
      <c r="B620" s="19"/>
    </row>
    <row r="621" spans="2:2" x14ac:dyDescent="0.3">
      <c r="B621" s="19"/>
    </row>
    <row r="622" spans="2:2" x14ac:dyDescent="0.3">
      <c r="B622" s="19"/>
    </row>
    <row r="623" spans="2:2" x14ac:dyDescent="0.3">
      <c r="B623" s="19"/>
    </row>
    <row r="624" spans="2:2" x14ac:dyDescent="0.3">
      <c r="B624" s="19"/>
    </row>
    <row r="625" spans="2:2" x14ac:dyDescent="0.3">
      <c r="B625" s="19"/>
    </row>
    <row r="626" spans="2:2" x14ac:dyDescent="0.3">
      <c r="B626" s="19"/>
    </row>
  </sheetData>
  <sheetProtection selectLockedCells="1"/>
  <mergeCells count="4">
    <mergeCell ref="D1:N2"/>
    <mergeCell ref="E4:I11"/>
    <mergeCell ref="E15:H15"/>
    <mergeCell ref="E17:H17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45E1C-EA84-422F-AC2D-B5105FD59432}">
  <dimension ref="A1:AX610"/>
  <sheetViews>
    <sheetView workbookViewId="0">
      <selection activeCell="N18" sqref="N18"/>
    </sheetView>
  </sheetViews>
  <sheetFormatPr defaultRowHeight="14.4" x14ac:dyDescent="0.3"/>
  <cols>
    <col min="13" max="13" width="8.88671875" style="7"/>
    <col min="14" max="14" width="8.88671875" style="12"/>
    <col min="15" max="15" width="8.88671875" style="9"/>
    <col min="16" max="16" width="8.88671875" style="7"/>
    <col min="17" max="17" width="8.88671875" style="32"/>
    <col min="18" max="18" width="5.21875" style="32" customWidth="1"/>
    <col min="19" max="19" width="21" style="32" customWidth="1"/>
    <col min="20" max="20" width="8.88671875" style="7"/>
    <col min="21" max="21" width="8.88671875" style="30"/>
    <col min="22" max="22" width="8.88671875" style="7"/>
    <col min="23" max="25" width="8.88671875" style="54"/>
    <col min="26" max="50" width="8.88671875" style="7"/>
  </cols>
  <sheetData>
    <row r="1" spans="1:21" x14ac:dyDescent="0.3">
      <c r="A1" s="3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Q1" s="32" t="s">
        <v>9</v>
      </c>
      <c r="R1" s="32" t="s">
        <v>1</v>
      </c>
      <c r="S1" s="31" t="s">
        <v>12</v>
      </c>
      <c r="T1" s="7" t="s">
        <v>0</v>
      </c>
      <c r="U1" s="31" t="s">
        <v>12</v>
      </c>
    </row>
    <row r="2" spans="1:2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Q2" s="32">
        <f>IF(Dados!A3="","",Dados!A3)</f>
        <v>19.600000000000001</v>
      </c>
      <c r="R2" s="32">
        <f>Q2/PI()</f>
        <v>6.2388737692022982</v>
      </c>
      <c r="S2" s="32">
        <v>9.9</v>
      </c>
      <c r="T2" s="7" cm="1">
        <f t="array" ref="T2:T14">FREQUENCY(R2:R501,S2:S14)</f>
        <v>182</v>
      </c>
      <c r="U2" s="31" t="s">
        <v>45</v>
      </c>
    </row>
    <row r="3" spans="1:2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Q3" s="32">
        <f>IF(Dados!A4="","",Dados!A4)</f>
        <v>22.1</v>
      </c>
      <c r="R3" s="32">
        <f t="shared" ref="R3:R66" si="0">Q3/PI()</f>
        <v>7.0346484846617745</v>
      </c>
      <c r="S3" s="32">
        <v>14.9</v>
      </c>
      <c r="T3" s="7">
        <v>90</v>
      </c>
      <c r="U3" s="31" t="s">
        <v>20</v>
      </c>
    </row>
    <row r="4" spans="1:21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Q4" s="32">
        <f>IF(Dados!A5="","",Dados!A5)</f>
        <v>18.100000000000001</v>
      </c>
      <c r="R4" s="32">
        <f t="shared" si="0"/>
        <v>5.7614089399266115</v>
      </c>
      <c r="S4" s="32">
        <v>19.899999999999999</v>
      </c>
      <c r="T4" s="7">
        <v>70</v>
      </c>
      <c r="U4" s="31" t="s">
        <v>21</v>
      </c>
    </row>
    <row r="5" spans="1:2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Q5" s="32">
        <f>IF(Dados!A6="","",Dados!A6)</f>
        <v>23.4</v>
      </c>
      <c r="R5" s="32">
        <f t="shared" si="0"/>
        <v>7.4484513367007015</v>
      </c>
      <c r="S5" s="32">
        <v>24.9</v>
      </c>
      <c r="T5" s="7">
        <v>58</v>
      </c>
      <c r="U5" s="31" t="s">
        <v>22</v>
      </c>
    </row>
    <row r="6" spans="1:21" x14ac:dyDescent="0.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Q6" s="32">
        <f>IF(Dados!A7="","",Dados!A7)</f>
        <v>27</v>
      </c>
      <c r="R6" s="32">
        <f t="shared" si="0"/>
        <v>8.5943669269623477</v>
      </c>
      <c r="S6" s="32">
        <v>29.9</v>
      </c>
      <c r="T6" s="7">
        <v>41</v>
      </c>
      <c r="U6" s="31" t="s">
        <v>23</v>
      </c>
    </row>
    <row r="7" spans="1:21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Q7" s="32">
        <f>IF(Dados!A8="","",Dados!A8)</f>
        <v>29.8</v>
      </c>
      <c r="R7" s="32">
        <f t="shared" si="0"/>
        <v>9.4856346082769623</v>
      </c>
      <c r="S7" s="32">
        <v>34.9</v>
      </c>
      <c r="T7" s="7">
        <v>26</v>
      </c>
      <c r="U7" s="31" t="s">
        <v>24</v>
      </c>
    </row>
    <row r="8" spans="1:21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Q8" s="32">
        <f>IF(Dados!A9="","",Dados!A9)</f>
        <v>56.4</v>
      </c>
      <c r="R8" s="32">
        <f t="shared" si="0"/>
        <v>17.952677580765794</v>
      </c>
      <c r="S8" s="32">
        <v>39.9</v>
      </c>
      <c r="T8" s="7">
        <v>16</v>
      </c>
      <c r="U8" s="31" t="s">
        <v>25</v>
      </c>
    </row>
    <row r="9" spans="1:2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Q9" s="32">
        <f>IF(Dados!A10="","",Dados!A10)</f>
        <v>28.7</v>
      </c>
      <c r="R9" s="32">
        <f t="shared" si="0"/>
        <v>9.1354937334747923</v>
      </c>
      <c r="S9" s="32">
        <v>44.9</v>
      </c>
      <c r="T9" s="7">
        <v>7</v>
      </c>
      <c r="U9" s="31" t="s">
        <v>26</v>
      </c>
    </row>
    <row r="10" spans="1:21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Q10" s="32">
        <f>IF(Dados!A11="","",Dados!A11)</f>
        <v>16.600000000000001</v>
      </c>
      <c r="R10" s="32">
        <f t="shared" si="0"/>
        <v>5.2839441106509257</v>
      </c>
      <c r="S10" s="32">
        <v>49.9</v>
      </c>
      <c r="T10" s="7">
        <v>4</v>
      </c>
      <c r="U10" s="31" t="s">
        <v>27</v>
      </c>
    </row>
    <row r="11" spans="1:2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Q11" s="32">
        <f>IF(Dados!A12="","",Dados!A12)</f>
        <v>22</v>
      </c>
      <c r="R11" s="32">
        <f t="shared" si="0"/>
        <v>7.0028174960433951</v>
      </c>
      <c r="S11" s="32">
        <v>74.900000000000006</v>
      </c>
      <c r="T11" s="7">
        <v>6</v>
      </c>
      <c r="U11" s="31" t="s">
        <v>29</v>
      </c>
    </row>
    <row r="12" spans="1:2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Q12" s="32">
        <f>IF(Dados!A13="","",Dados!A13)</f>
        <v>45</v>
      </c>
      <c r="R12" s="32">
        <f t="shared" si="0"/>
        <v>14.323944878270581</v>
      </c>
      <c r="S12" s="32">
        <v>99.9</v>
      </c>
      <c r="T12" s="7">
        <v>0</v>
      </c>
      <c r="U12" s="31" t="s">
        <v>30</v>
      </c>
    </row>
    <row r="13" spans="1:2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Q13" s="32">
        <f>IF(Dados!A14="","",Dados!A14)</f>
        <v>52</v>
      </c>
      <c r="R13" s="32">
        <f t="shared" si="0"/>
        <v>16.552114081557114</v>
      </c>
      <c r="S13" s="32">
        <v>200</v>
      </c>
      <c r="T13" s="7">
        <v>0</v>
      </c>
      <c r="U13" s="31" t="s">
        <v>28</v>
      </c>
    </row>
    <row r="14" spans="1:2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Q14" s="32">
        <f>IF(Dados!A15="","",Dados!A15)</f>
        <v>21.5</v>
      </c>
      <c r="R14" s="32">
        <f t="shared" si="0"/>
        <v>6.8436625529514998</v>
      </c>
      <c r="T14" s="7">
        <v>0</v>
      </c>
      <c r="U14" s="31"/>
    </row>
    <row r="15" spans="1:2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Q15" s="32">
        <f>IF(Dados!A16="","",Dados!A16)</f>
        <v>46.5</v>
      </c>
      <c r="R15" s="32">
        <f t="shared" si="0"/>
        <v>14.801409707546267</v>
      </c>
    </row>
    <row r="16" spans="1:2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Q16" s="32">
        <f>IF(Dados!A17="","",Dados!A17)</f>
        <v>149.5</v>
      </c>
      <c r="R16" s="32">
        <f t="shared" si="0"/>
        <v>47.587327984476708</v>
      </c>
    </row>
    <row r="17" spans="1:25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Q17" s="32">
        <f>IF(Dados!A18="","",Dados!A18)</f>
        <v>53.1</v>
      </c>
      <c r="R17" s="32">
        <f t="shared" si="0"/>
        <v>16.902254956359286</v>
      </c>
    </row>
    <row r="18" spans="1:25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O18" s="47"/>
      <c r="Q18" s="32">
        <f>IF(Dados!A19="","",Dados!A19)</f>
        <v>96.4</v>
      </c>
      <c r="R18" s="32">
        <f t="shared" si="0"/>
        <v>30.685073028117422</v>
      </c>
    </row>
    <row r="19" spans="1:25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Q19" s="32">
        <f>IF(Dados!A20="","",Dados!A20)</f>
        <v>69</v>
      </c>
      <c r="R19" s="32">
        <f t="shared" si="0"/>
        <v>21.963382146681557</v>
      </c>
    </row>
    <row r="20" spans="1:25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Q20" s="32">
        <f>IF(Dados!A21="","",Dados!A21)</f>
        <v>24</v>
      </c>
      <c r="R20" s="32">
        <f t="shared" si="0"/>
        <v>7.6394372684109761</v>
      </c>
    </row>
    <row r="21" spans="1:25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Q21" s="32">
        <f>IF(Dados!A22="","",Dados!A22)</f>
        <v>56.8</v>
      </c>
      <c r="R21" s="32">
        <f t="shared" si="0"/>
        <v>18.080001535239308</v>
      </c>
    </row>
    <row r="22" spans="1:25" ht="15" thickBot="1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Q22" s="32">
        <f>IF(Dados!A23="","",Dados!A23)</f>
        <v>36.799999999999997</v>
      </c>
      <c r="R22" s="32">
        <f t="shared" si="0"/>
        <v>11.713803811563496</v>
      </c>
    </row>
    <row r="23" spans="1:25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48" t="s">
        <v>14</v>
      </c>
      <c r="L23" s="49">
        <f>MIN(R2:R501)</f>
        <v>4.5836623610465859</v>
      </c>
      <c r="Q23" s="32">
        <f>IF(Dados!A24="","",Dados!A24)</f>
        <v>23.2</v>
      </c>
      <c r="R23" s="32">
        <f t="shared" si="0"/>
        <v>7.3847893594639435</v>
      </c>
      <c r="T23" s="53"/>
    </row>
    <row r="24" spans="1:25" ht="15" thickBot="1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50" t="s">
        <v>15</v>
      </c>
      <c r="L24" s="51">
        <f>MAX(R2:R501)</f>
        <v>59.205638830185066</v>
      </c>
      <c r="Q24" s="32">
        <f>IF(Dados!A25="","",Dados!A25)</f>
        <v>18.5</v>
      </c>
      <c r="R24" s="32">
        <f t="shared" si="0"/>
        <v>5.8887328944001274</v>
      </c>
    </row>
    <row r="25" spans="1:25" s="7" customFormat="1" x14ac:dyDescent="0.3">
      <c r="N25" s="12"/>
      <c r="O25" s="9"/>
      <c r="Q25" s="32">
        <f>IF(Dados!A26="","",Dados!A26)</f>
        <v>18</v>
      </c>
      <c r="R25" s="32">
        <f t="shared" si="0"/>
        <v>5.7295779513082321</v>
      </c>
      <c r="S25" s="32"/>
      <c r="U25" s="30"/>
      <c r="W25" s="54"/>
      <c r="X25" s="54"/>
      <c r="Y25" s="54"/>
    </row>
    <row r="26" spans="1:25" s="7" customFormat="1" x14ac:dyDescent="0.3">
      <c r="N26" s="12"/>
      <c r="O26" s="9"/>
      <c r="Q26" s="32">
        <f>IF(Dados!A27="","",Dados!A27)</f>
        <v>17.2</v>
      </c>
      <c r="R26" s="32">
        <f t="shared" si="0"/>
        <v>5.4749300423611995</v>
      </c>
      <c r="S26" s="32"/>
      <c r="U26" s="30"/>
      <c r="W26" s="54"/>
      <c r="X26" s="54"/>
      <c r="Y26" s="54"/>
    </row>
    <row r="27" spans="1:25" s="7" customFormat="1" x14ac:dyDescent="0.3">
      <c r="N27" s="12"/>
      <c r="O27" s="9"/>
      <c r="Q27" s="32">
        <f>IF(Dados!A28="","",Dados!A28)</f>
        <v>19.600000000000001</v>
      </c>
      <c r="R27" s="32">
        <f t="shared" si="0"/>
        <v>6.2388737692022982</v>
      </c>
      <c r="S27" s="32"/>
      <c r="U27" s="30"/>
      <c r="W27" s="54"/>
      <c r="X27" s="54"/>
      <c r="Y27" s="54"/>
    </row>
    <row r="28" spans="1:25" s="7" customFormat="1" x14ac:dyDescent="0.3">
      <c r="N28" s="12"/>
      <c r="O28" s="9"/>
      <c r="Q28" s="32">
        <f>IF(Dados!A29="","",Dados!A29)</f>
        <v>18</v>
      </c>
      <c r="R28" s="32">
        <f t="shared" si="0"/>
        <v>5.7295779513082321</v>
      </c>
      <c r="S28" s="32"/>
      <c r="U28" s="30"/>
      <c r="W28" s="54"/>
      <c r="X28" s="54"/>
      <c r="Y28" s="54"/>
    </row>
    <row r="29" spans="1:25" s="7" customFormat="1" x14ac:dyDescent="0.3">
      <c r="N29" s="12"/>
      <c r="O29" s="9"/>
      <c r="Q29" s="32">
        <f>IF(Dados!A30="","",Dados!A30)</f>
        <v>52</v>
      </c>
      <c r="R29" s="32">
        <f t="shared" si="0"/>
        <v>16.552114081557114</v>
      </c>
      <c r="S29" s="32"/>
      <c r="U29" s="30"/>
      <c r="W29" s="54"/>
      <c r="X29" s="54"/>
      <c r="Y29" s="54"/>
    </row>
    <row r="30" spans="1:25" s="7" customFormat="1" x14ac:dyDescent="0.3">
      <c r="N30" s="12"/>
      <c r="O30" s="9"/>
      <c r="Q30" s="32">
        <f>IF(Dados!A31="","",Dados!A31)</f>
        <v>29</v>
      </c>
      <c r="R30" s="32">
        <f t="shared" si="0"/>
        <v>9.2309866993299305</v>
      </c>
      <c r="S30" s="32"/>
      <c r="U30" s="30"/>
      <c r="W30" s="54"/>
      <c r="X30" s="54"/>
      <c r="Y30" s="54"/>
    </row>
    <row r="31" spans="1:25" s="7" customFormat="1" x14ac:dyDescent="0.3">
      <c r="N31" s="12"/>
      <c r="O31" s="9"/>
      <c r="Q31" s="32">
        <f>IF(Dados!A32="","",Dados!A32)</f>
        <v>46.5</v>
      </c>
      <c r="R31" s="32">
        <f t="shared" si="0"/>
        <v>14.801409707546267</v>
      </c>
      <c r="S31" s="32"/>
      <c r="U31" s="30"/>
      <c r="W31" s="54"/>
      <c r="X31" s="54"/>
      <c r="Y31" s="54"/>
    </row>
    <row r="32" spans="1:25" s="7" customFormat="1" x14ac:dyDescent="0.3">
      <c r="N32" s="12"/>
      <c r="O32" s="9"/>
      <c r="Q32" s="32">
        <f>IF(Dados!A33="","",Dados!A33)</f>
        <v>50.2</v>
      </c>
      <c r="R32" s="32">
        <f t="shared" si="0"/>
        <v>15.979156286426294</v>
      </c>
      <c r="S32" s="32"/>
      <c r="U32" s="30"/>
      <c r="W32" s="54"/>
      <c r="X32" s="54"/>
      <c r="Y32" s="54"/>
    </row>
    <row r="33" spans="14:25" s="7" customFormat="1" x14ac:dyDescent="0.3">
      <c r="N33" s="12"/>
      <c r="O33" s="9"/>
      <c r="Q33" s="32">
        <f>IF(Dados!A34="","",Dados!A34)</f>
        <v>39.5</v>
      </c>
      <c r="R33" s="32">
        <f t="shared" si="0"/>
        <v>12.573240504259733</v>
      </c>
      <c r="S33" s="32"/>
      <c r="U33" s="30"/>
      <c r="W33" s="54"/>
      <c r="X33" s="54"/>
      <c r="Y33" s="54"/>
    </row>
    <row r="34" spans="14:25" s="7" customFormat="1" x14ac:dyDescent="0.3">
      <c r="N34" s="12"/>
      <c r="O34" s="9"/>
      <c r="Q34" s="32">
        <f>IF(Dados!A35="","",Dados!A35)</f>
        <v>65.2</v>
      </c>
      <c r="R34" s="32">
        <f t="shared" si="0"/>
        <v>20.753804579183154</v>
      </c>
      <c r="S34" s="32"/>
      <c r="U34" s="30"/>
      <c r="W34" s="54"/>
      <c r="X34" s="54"/>
      <c r="Y34" s="54"/>
    </row>
    <row r="35" spans="14:25" s="7" customFormat="1" x14ac:dyDescent="0.3">
      <c r="N35" s="12"/>
      <c r="O35" s="9"/>
      <c r="Q35" s="32">
        <f>IF(Dados!A36="","",Dados!A36)</f>
        <v>85.2</v>
      </c>
      <c r="R35" s="32">
        <f t="shared" si="0"/>
        <v>27.120002302858968</v>
      </c>
      <c r="S35" s="32"/>
      <c r="U35" s="30"/>
      <c r="W35" s="54"/>
      <c r="X35" s="54"/>
      <c r="Y35" s="54"/>
    </row>
    <row r="36" spans="14:25" s="7" customFormat="1" x14ac:dyDescent="0.3">
      <c r="N36" s="12"/>
      <c r="O36" s="9"/>
      <c r="Q36" s="32">
        <f>IF(Dados!A37="","",Dados!A37)</f>
        <v>64.2</v>
      </c>
      <c r="R36" s="32">
        <f t="shared" si="0"/>
        <v>20.435494692999363</v>
      </c>
      <c r="S36" s="32"/>
      <c r="U36" s="30"/>
      <c r="W36" s="54"/>
      <c r="X36" s="54"/>
      <c r="Y36" s="54"/>
    </row>
    <row r="37" spans="14:25" s="7" customFormat="1" x14ac:dyDescent="0.3">
      <c r="N37" s="12"/>
      <c r="O37" s="9"/>
      <c r="Q37" s="32">
        <f>IF(Dados!A38="","",Dados!A38)</f>
        <v>85.2</v>
      </c>
      <c r="R37" s="32">
        <f t="shared" si="0"/>
        <v>27.120002302858968</v>
      </c>
      <c r="S37" s="32"/>
      <c r="U37" s="30"/>
      <c r="W37" s="54"/>
      <c r="X37" s="54"/>
      <c r="Y37" s="54"/>
    </row>
    <row r="38" spans="14:25" s="7" customFormat="1" x14ac:dyDescent="0.3">
      <c r="N38" s="12"/>
      <c r="O38" s="9"/>
      <c r="Q38" s="32">
        <f>IF(Dados!A39="","",Dados!A39)</f>
        <v>55.1</v>
      </c>
      <c r="R38" s="32">
        <f t="shared" si="0"/>
        <v>17.538874728726867</v>
      </c>
      <c r="S38" s="32"/>
      <c r="U38" s="30"/>
      <c r="W38" s="54"/>
      <c r="X38" s="54"/>
      <c r="Y38" s="54"/>
    </row>
    <row r="39" spans="14:25" s="7" customFormat="1" x14ac:dyDescent="0.3">
      <c r="N39" s="12"/>
      <c r="O39" s="9"/>
      <c r="Q39" s="32">
        <f>IF(Dados!A40="","",Dados!A40)</f>
        <v>77.5</v>
      </c>
      <c r="R39" s="32">
        <f t="shared" si="0"/>
        <v>24.669016179243776</v>
      </c>
      <c r="S39" s="32"/>
      <c r="U39" s="30"/>
      <c r="W39" s="54"/>
      <c r="X39" s="54"/>
      <c r="Y39" s="54"/>
    </row>
    <row r="40" spans="14:25" s="7" customFormat="1" x14ac:dyDescent="0.3">
      <c r="N40" s="12"/>
      <c r="O40" s="9"/>
      <c r="Q40" s="32">
        <f>IF(Dados!A41="","",Dados!A41)</f>
        <v>60</v>
      </c>
      <c r="R40" s="32">
        <f t="shared" si="0"/>
        <v>19.098593171027442</v>
      </c>
      <c r="S40" s="32"/>
      <c r="U40" s="30"/>
      <c r="W40" s="54"/>
      <c r="X40" s="54"/>
      <c r="Y40" s="54"/>
    </row>
    <row r="41" spans="14:25" s="7" customFormat="1" x14ac:dyDescent="0.3">
      <c r="N41" s="12"/>
      <c r="O41" s="9"/>
      <c r="Q41" s="32">
        <f>IF(Dados!A42="","",Dados!A42)</f>
        <v>76.5</v>
      </c>
      <c r="R41" s="32">
        <f t="shared" si="0"/>
        <v>24.350706293059986</v>
      </c>
      <c r="S41" s="32"/>
      <c r="U41" s="30"/>
      <c r="W41" s="54"/>
      <c r="X41" s="54"/>
      <c r="Y41" s="54"/>
    </row>
    <row r="42" spans="14:25" s="7" customFormat="1" x14ac:dyDescent="0.3">
      <c r="N42" s="12"/>
      <c r="O42" s="9"/>
      <c r="Q42" s="32">
        <f>IF(Dados!A43="","",Dados!A43)</f>
        <v>71.7</v>
      </c>
      <c r="R42" s="32">
        <f t="shared" si="0"/>
        <v>22.822818839377792</v>
      </c>
      <c r="S42" s="32"/>
      <c r="U42" s="30"/>
      <c r="W42" s="54"/>
      <c r="X42" s="54"/>
      <c r="Y42" s="54"/>
    </row>
    <row r="43" spans="14:25" s="7" customFormat="1" x14ac:dyDescent="0.3">
      <c r="N43" s="12"/>
      <c r="O43" s="9"/>
      <c r="Q43" s="32">
        <f>IF(Dados!A44="","",Dados!A44)</f>
        <v>92.5</v>
      </c>
      <c r="R43" s="32">
        <f t="shared" si="0"/>
        <v>29.443664472000638</v>
      </c>
      <c r="S43" s="32"/>
      <c r="U43" s="30"/>
      <c r="W43" s="54"/>
      <c r="X43" s="54"/>
      <c r="Y43" s="54"/>
    </row>
    <row r="44" spans="14:25" s="7" customFormat="1" x14ac:dyDescent="0.3">
      <c r="N44" s="12"/>
      <c r="O44" s="9"/>
      <c r="Q44" s="32">
        <f>IF(Dados!A45="","",Dados!A45)</f>
        <v>112.5</v>
      </c>
      <c r="R44" s="32">
        <f t="shared" si="0"/>
        <v>35.809862195676452</v>
      </c>
      <c r="S44" s="32"/>
      <c r="U44" s="30"/>
      <c r="W44" s="54"/>
      <c r="X44" s="54"/>
      <c r="Y44" s="54"/>
    </row>
    <row r="45" spans="14:25" s="7" customFormat="1" x14ac:dyDescent="0.3">
      <c r="N45" s="12"/>
      <c r="O45" s="9"/>
      <c r="Q45" s="32">
        <f>IF(Dados!A46="","",Dados!A46)</f>
        <v>59</v>
      </c>
      <c r="R45" s="32">
        <f t="shared" si="0"/>
        <v>18.780283284843652</v>
      </c>
      <c r="S45" s="32"/>
      <c r="U45" s="30"/>
      <c r="W45" s="54"/>
      <c r="X45" s="54"/>
      <c r="Y45" s="54"/>
    </row>
    <row r="46" spans="14:25" s="7" customFormat="1" x14ac:dyDescent="0.3">
      <c r="N46" s="12"/>
      <c r="O46" s="9"/>
      <c r="Q46" s="32">
        <f>IF(Dados!A47="","",Dados!A47)</f>
        <v>25.5</v>
      </c>
      <c r="R46" s="32">
        <f t="shared" si="0"/>
        <v>8.1169020976866619</v>
      </c>
      <c r="S46" s="32"/>
      <c r="U46" s="30"/>
      <c r="W46" s="54"/>
      <c r="X46" s="54"/>
      <c r="Y46" s="54"/>
    </row>
    <row r="47" spans="14:25" s="7" customFormat="1" x14ac:dyDescent="0.3">
      <c r="N47" s="12"/>
      <c r="O47" s="9"/>
      <c r="Q47" s="32">
        <f>IF(Dados!A48="","",Dados!A48)</f>
        <v>26.1</v>
      </c>
      <c r="R47" s="32">
        <f t="shared" si="0"/>
        <v>8.3078880293969366</v>
      </c>
      <c r="S47" s="32"/>
      <c r="U47" s="30"/>
      <c r="W47" s="54"/>
      <c r="X47" s="54"/>
      <c r="Y47" s="54"/>
    </row>
    <row r="48" spans="14:25" s="7" customFormat="1" x14ac:dyDescent="0.3">
      <c r="N48" s="12"/>
      <c r="O48" s="9"/>
      <c r="Q48" s="32">
        <f>IF(Dados!A49="","",Dados!A49)</f>
        <v>108.6</v>
      </c>
      <c r="R48" s="32">
        <f t="shared" si="0"/>
        <v>34.568453639559664</v>
      </c>
      <c r="S48" s="32"/>
      <c r="U48" s="30"/>
      <c r="W48" s="54"/>
      <c r="X48" s="54"/>
      <c r="Y48" s="54"/>
    </row>
    <row r="49" spans="14:25" s="7" customFormat="1" x14ac:dyDescent="0.3">
      <c r="N49" s="12"/>
      <c r="O49" s="9"/>
      <c r="Q49" s="32">
        <f>IF(Dados!A50="","",Dados!A50)</f>
        <v>72</v>
      </c>
      <c r="R49" s="32">
        <f t="shared" si="0"/>
        <v>22.918311805232928</v>
      </c>
      <c r="S49" s="32"/>
      <c r="U49" s="30"/>
      <c r="W49" s="54"/>
      <c r="X49" s="54"/>
      <c r="Y49" s="54"/>
    </row>
    <row r="50" spans="14:25" s="7" customFormat="1" x14ac:dyDescent="0.3">
      <c r="N50" s="12"/>
      <c r="O50" s="9"/>
      <c r="Q50" s="32">
        <f>IF(Dados!A51="","",Dados!A51)</f>
        <v>26.8</v>
      </c>
      <c r="R50" s="32">
        <f t="shared" si="0"/>
        <v>8.5307049497255907</v>
      </c>
      <c r="S50" s="32"/>
      <c r="U50" s="30"/>
      <c r="W50" s="54"/>
      <c r="X50" s="54"/>
      <c r="Y50" s="54"/>
    </row>
    <row r="51" spans="14:25" s="7" customFormat="1" x14ac:dyDescent="0.3">
      <c r="N51" s="12"/>
      <c r="O51" s="9"/>
      <c r="Q51" s="32">
        <f>IF(Dados!A52="","",Dados!A52)</f>
        <v>49</v>
      </c>
      <c r="R51" s="32">
        <f t="shared" si="0"/>
        <v>15.597184423005743</v>
      </c>
      <c r="S51" s="32"/>
      <c r="U51" s="30"/>
      <c r="W51" s="54"/>
      <c r="X51" s="54"/>
      <c r="Y51" s="54"/>
    </row>
    <row r="52" spans="14:25" s="7" customFormat="1" x14ac:dyDescent="0.3">
      <c r="N52" s="12"/>
      <c r="O52" s="9"/>
      <c r="Q52" s="32">
        <f>IF(Dados!A53="","",Dados!A53)</f>
        <v>36.200000000000003</v>
      </c>
      <c r="R52" s="32">
        <f t="shared" si="0"/>
        <v>11.522817879853223</v>
      </c>
      <c r="S52" s="32"/>
      <c r="U52" s="30"/>
      <c r="W52" s="54"/>
      <c r="X52" s="54"/>
      <c r="Y52" s="54"/>
    </row>
    <row r="53" spans="14:25" x14ac:dyDescent="0.3">
      <c r="Q53" s="32">
        <f>IF(Dados!A54="","",Dados!A54)</f>
        <v>49.4</v>
      </c>
      <c r="R53" s="32">
        <f t="shared" si="0"/>
        <v>15.724508377479259</v>
      </c>
    </row>
    <row r="54" spans="14:25" x14ac:dyDescent="0.3">
      <c r="Q54" s="32">
        <f>IF(Dados!A55="","",Dados!A55)</f>
        <v>17.600000000000001</v>
      </c>
      <c r="R54" s="32">
        <f t="shared" si="0"/>
        <v>5.6022539968347163</v>
      </c>
    </row>
    <row r="55" spans="14:25" x14ac:dyDescent="0.3">
      <c r="Q55" s="32">
        <f>IF(Dados!A56="","",Dados!A56)</f>
        <v>53</v>
      </c>
      <c r="R55" s="32">
        <f t="shared" si="0"/>
        <v>16.870423967740905</v>
      </c>
    </row>
    <row r="56" spans="14:25" x14ac:dyDescent="0.3">
      <c r="Q56" s="32">
        <f>IF(Dados!A57="","",Dados!A57)</f>
        <v>71.3</v>
      </c>
      <c r="R56" s="32">
        <f t="shared" si="0"/>
        <v>22.695494884904274</v>
      </c>
    </row>
    <row r="57" spans="14:25" x14ac:dyDescent="0.3">
      <c r="Q57" s="32">
        <f>IF(Dados!A58="","",Dados!A58)</f>
        <v>20</v>
      </c>
      <c r="R57" s="32">
        <f t="shared" si="0"/>
        <v>6.366197723675814</v>
      </c>
    </row>
    <row r="58" spans="14:25" x14ac:dyDescent="0.3">
      <c r="Q58" s="32">
        <f>IF(Dados!A59="","",Dados!A59)</f>
        <v>36.200000000000003</v>
      </c>
      <c r="R58" s="32">
        <f t="shared" si="0"/>
        <v>11.522817879853223</v>
      </c>
    </row>
    <row r="59" spans="14:25" x14ac:dyDescent="0.3">
      <c r="Q59" s="32">
        <f>IF(Dados!A60="","",Dados!A60)</f>
        <v>41.9</v>
      </c>
      <c r="R59" s="32">
        <f t="shared" si="0"/>
        <v>13.33718423110083</v>
      </c>
    </row>
    <row r="60" spans="14:25" x14ac:dyDescent="0.3">
      <c r="Q60" s="32">
        <f>IF(Dados!A61="","",Dados!A61)</f>
        <v>86.2</v>
      </c>
      <c r="R60" s="32">
        <f t="shared" si="0"/>
        <v>27.438312189042758</v>
      </c>
    </row>
    <row r="61" spans="14:25" x14ac:dyDescent="0.3">
      <c r="Q61" s="32">
        <f>IF(Dados!A62="","",Dados!A62)</f>
        <v>81.5</v>
      </c>
      <c r="R61" s="32">
        <f t="shared" si="0"/>
        <v>25.942255723978942</v>
      </c>
    </row>
    <row r="62" spans="14:25" x14ac:dyDescent="0.3">
      <c r="Q62" s="32">
        <f>IF(Dados!A63="","",Dados!A63)</f>
        <v>69</v>
      </c>
      <c r="R62" s="32">
        <f t="shared" si="0"/>
        <v>21.963382146681557</v>
      </c>
    </row>
    <row r="63" spans="14:25" x14ac:dyDescent="0.3">
      <c r="Q63" s="32">
        <f>IF(Dados!A64="","",Dados!A64)</f>
        <v>56</v>
      </c>
      <c r="R63" s="32">
        <f t="shared" si="0"/>
        <v>17.82535362629228</v>
      </c>
    </row>
    <row r="64" spans="14:25" x14ac:dyDescent="0.3">
      <c r="Q64" s="32">
        <f>IF(Dados!A65="","",Dados!A65)</f>
        <v>93.1</v>
      </c>
      <c r="R64" s="32">
        <f t="shared" si="0"/>
        <v>29.634650403710911</v>
      </c>
    </row>
    <row r="65" spans="17:18" x14ac:dyDescent="0.3">
      <c r="Q65" s="32">
        <f>IF(Dados!A66="","",Dados!A66)</f>
        <v>23</v>
      </c>
      <c r="R65" s="32">
        <f t="shared" si="0"/>
        <v>7.3211273822271856</v>
      </c>
    </row>
    <row r="66" spans="17:18" x14ac:dyDescent="0.3">
      <c r="Q66" s="32">
        <f>IF(Dados!A67="","",Dados!A67)</f>
        <v>106.8</v>
      </c>
      <c r="R66" s="32">
        <f t="shared" si="0"/>
        <v>33.995495844428845</v>
      </c>
    </row>
    <row r="67" spans="17:18" x14ac:dyDescent="0.3">
      <c r="Q67" s="32">
        <f>IF(Dados!A68="","",Dados!A68)</f>
        <v>42</v>
      </c>
      <c r="R67" s="32">
        <f t="shared" ref="R67:R130" si="1">Q67/PI()</f>
        <v>13.369015219719209</v>
      </c>
    </row>
    <row r="68" spans="17:18" x14ac:dyDescent="0.3">
      <c r="Q68" s="32">
        <f>IF(Dados!A69="","",Dados!A69)</f>
        <v>36.5</v>
      </c>
      <c r="R68" s="32">
        <f t="shared" si="1"/>
        <v>11.618310845708359</v>
      </c>
    </row>
    <row r="69" spans="17:18" x14ac:dyDescent="0.3">
      <c r="Q69" s="32">
        <f>IF(Dados!A70="","",Dados!A70)</f>
        <v>50.5</v>
      </c>
      <c r="R69" s="32">
        <f t="shared" si="1"/>
        <v>16.074649252281429</v>
      </c>
    </row>
    <row r="70" spans="17:18" x14ac:dyDescent="0.3">
      <c r="Q70" s="32">
        <f>IF(Dados!A71="","",Dados!A71)</f>
        <v>69.7</v>
      </c>
      <c r="R70" s="32">
        <f t="shared" si="1"/>
        <v>22.186199067010211</v>
      </c>
    </row>
    <row r="71" spans="17:18" x14ac:dyDescent="0.3">
      <c r="Q71" s="32">
        <f>IF(Dados!A72="","",Dados!A72)</f>
        <v>42</v>
      </c>
      <c r="R71" s="32">
        <f t="shared" si="1"/>
        <v>13.369015219719209</v>
      </c>
    </row>
    <row r="72" spans="17:18" x14ac:dyDescent="0.3">
      <c r="Q72" s="32">
        <f>IF(Dados!A73="","",Dados!A73)</f>
        <v>51.8</v>
      </c>
      <c r="R72" s="32">
        <f t="shared" si="1"/>
        <v>16.488452104320356</v>
      </c>
    </row>
    <row r="73" spans="17:18" x14ac:dyDescent="0.3">
      <c r="Q73" s="32">
        <f>IF(Dados!A74="","",Dados!A74)</f>
        <v>18.399999999999999</v>
      </c>
      <c r="R73" s="32">
        <f t="shared" si="1"/>
        <v>5.856901905781748</v>
      </c>
    </row>
    <row r="74" spans="17:18" x14ac:dyDescent="0.3">
      <c r="Q74" s="32">
        <f>IF(Dados!A75="","",Dados!A75)</f>
        <v>20</v>
      </c>
      <c r="R74" s="32">
        <f t="shared" si="1"/>
        <v>6.366197723675814</v>
      </c>
    </row>
    <row r="75" spans="17:18" x14ac:dyDescent="0.3">
      <c r="Q75" s="32">
        <f>IF(Dados!A76="","",Dados!A76)</f>
        <v>45</v>
      </c>
      <c r="R75" s="32">
        <f t="shared" si="1"/>
        <v>14.323944878270581</v>
      </c>
    </row>
    <row r="76" spans="17:18" x14ac:dyDescent="0.3">
      <c r="Q76" s="32">
        <f>IF(Dados!A77="","",Dados!A77)</f>
        <v>39.799999999999997</v>
      </c>
      <c r="R76" s="32">
        <f t="shared" si="1"/>
        <v>12.668733470114868</v>
      </c>
    </row>
    <row r="77" spans="17:18" x14ac:dyDescent="0.3">
      <c r="Q77" s="32">
        <f>IF(Dados!A78="","",Dados!A78)</f>
        <v>67.5</v>
      </c>
      <c r="R77" s="32">
        <f t="shared" si="1"/>
        <v>21.485917317405871</v>
      </c>
    </row>
    <row r="78" spans="17:18" x14ac:dyDescent="0.3">
      <c r="Q78" s="32">
        <f>IF(Dados!A79="","",Dados!A79)</f>
        <v>18.2</v>
      </c>
      <c r="R78" s="32">
        <f t="shared" si="1"/>
        <v>5.79323992854499</v>
      </c>
    </row>
    <row r="79" spans="17:18" x14ac:dyDescent="0.3">
      <c r="Q79" s="32">
        <f>IF(Dados!A80="","",Dados!A80)</f>
        <v>24.1</v>
      </c>
      <c r="R79" s="32">
        <f t="shared" si="1"/>
        <v>7.6712682570293556</v>
      </c>
    </row>
    <row r="80" spans="17:18" x14ac:dyDescent="0.3">
      <c r="Q80" s="32">
        <f>IF(Dados!A81="","",Dados!A81)</f>
        <v>15.3</v>
      </c>
      <c r="R80" s="32">
        <f t="shared" si="1"/>
        <v>4.8701412586119979</v>
      </c>
    </row>
    <row r="81" spans="17:18" x14ac:dyDescent="0.3">
      <c r="Q81" s="32">
        <f>IF(Dados!A82="","",Dados!A82)</f>
        <v>20.2</v>
      </c>
      <c r="R81" s="32">
        <f t="shared" si="1"/>
        <v>6.429859700912572</v>
      </c>
    </row>
    <row r="82" spans="17:18" x14ac:dyDescent="0.3">
      <c r="Q82" s="32">
        <f>IF(Dados!A83="","",Dados!A83)</f>
        <v>83</v>
      </c>
      <c r="R82" s="32">
        <f t="shared" si="1"/>
        <v>26.419720553254628</v>
      </c>
    </row>
    <row r="83" spans="17:18" x14ac:dyDescent="0.3">
      <c r="Q83" s="32">
        <f>IF(Dados!A84="","",Dados!A84)</f>
        <v>67.3</v>
      </c>
      <c r="R83" s="32">
        <f t="shared" si="1"/>
        <v>21.422255340169112</v>
      </c>
    </row>
    <row r="84" spans="17:18" x14ac:dyDescent="0.3">
      <c r="Q84" s="32">
        <f>IF(Dados!A85="","",Dados!A85)</f>
        <v>49</v>
      </c>
      <c r="R84" s="32">
        <f t="shared" si="1"/>
        <v>15.597184423005743</v>
      </c>
    </row>
    <row r="85" spans="17:18" x14ac:dyDescent="0.3">
      <c r="Q85" s="32">
        <f>IF(Dados!A86="","",Dados!A86)</f>
        <v>44.3</v>
      </c>
      <c r="R85" s="32">
        <f t="shared" si="1"/>
        <v>14.101127957941927</v>
      </c>
    </row>
    <row r="86" spans="17:18" x14ac:dyDescent="0.3">
      <c r="Q86" s="32">
        <f>IF(Dados!A87="","",Dados!A87)</f>
        <v>34.5</v>
      </c>
      <c r="R86" s="32">
        <f t="shared" si="1"/>
        <v>10.981691073340778</v>
      </c>
    </row>
    <row r="87" spans="17:18" x14ac:dyDescent="0.3">
      <c r="Q87" s="32">
        <f>IF(Dados!A88="","",Dados!A88)</f>
        <v>70.3</v>
      </c>
      <c r="R87" s="32">
        <f t="shared" si="1"/>
        <v>22.377184998720484</v>
      </c>
    </row>
    <row r="88" spans="17:18" x14ac:dyDescent="0.3">
      <c r="Q88" s="32">
        <f>IF(Dados!A89="","",Dados!A89)</f>
        <v>98.8</v>
      </c>
      <c r="R88" s="32">
        <f t="shared" si="1"/>
        <v>31.449016754958517</v>
      </c>
    </row>
    <row r="89" spans="17:18" x14ac:dyDescent="0.3">
      <c r="Q89" s="32">
        <f>IF(Dados!A90="","",Dados!A90)</f>
        <v>110</v>
      </c>
      <c r="R89" s="32">
        <f t="shared" si="1"/>
        <v>35.014087480216972</v>
      </c>
    </row>
    <row r="90" spans="17:18" x14ac:dyDescent="0.3">
      <c r="Q90" s="32">
        <f>IF(Dados!A91="","",Dados!A91)</f>
        <v>175</v>
      </c>
      <c r="R90" s="32">
        <f t="shared" si="1"/>
        <v>55.70423008216337</v>
      </c>
    </row>
    <row r="91" spans="17:18" x14ac:dyDescent="0.3">
      <c r="Q91" s="32">
        <f>IF(Dados!A92="","",Dados!A92)</f>
        <v>38.700000000000003</v>
      </c>
      <c r="R91" s="32">
        <f t="shared" si="1"/>
        <v>12.318592595312701</v>
      </c>
    </row>
    <row r="92" spans="17:18" x14ac:dyDescent="0.3">
      <c r="Q92" s="32">
        <f>IF(Dados!A93="","",Dados!A93)</f>
        <v>36.299999999999997</v>
      </c>
      <c r="R92" s="32">
        <f t="shared" si="1"/>
        <v>11.554648868471601</v>
      </c>
    </row>
    <row r="93" spans="17:18" x14ac:dyDescent="0.3">
      <c r="Q93" s="32">
        <f>IF(Dados!A94="","",Dados!A94)</f>
        <v>86</v>
      </c>
      <c r="R93" s="32">
        <f t="shared" si="1"/>
        <v>27.374650211805999</v>
      </c>
    </row>
    <row r="94" spans="17:18" x14ac:dyDescent="0.3">
      <c r="Q94" s="32">
        <f>IF(Dados!A95="","",Dados!A95)</f>
        <v>45.2</v>
      </c>
      <c r="R94" s="32">
        <f t="shared" si="1"/>
        <v>14.38760685550734</v>
      </c>
    </row>
    <row r="95" spans="17:18" x14ac:dyDescent="0.3">
      <c r="Q95" s="32">
        <f>IF(Dados!A96="","",Dados!A96)</f>
        <v>31</v>
      </c>
      <c r="R95" s="32">
        <f t="shared" si="1"/>
        <v>9.8676064716975116</v>
      </c>
    </row>
    <row r="96" spans="17:18" x14ac:dyDescent="0.3">
      <c r="Q96" s="32">
        <f>IF(Dados!A97="","",Dados!A97)</f>
        <v>33</v>
      </c>
      <c r="R96" s="32">
        <f t="shared" si="1"/>
        <v>10.504226244065093</v>
      </c>
    </row>
    <row r="97" spans="17:18" x14ac:dyDescent="0.3">
      <c r="Q97" s="32">
        <f>IF(Dados!A98="","",Dados!A98)</f>
        <v>49.5</v>
      </c>
      <c r="R97" s="32">
        <f t="shared" si="1"/>
        <v>15.756339366097638</v>
      </c>
    </row>
    <row r="98" spans="17:18" x14ac:dyDescent="0.3">
      <c r="Q98" s="32">
        <f>IF(Dados!A99="","",Dados!A99)</f>
        <v>37.799999999999997</v>
      </c>
      <c r="R98" s="32">
        <f t="shared" si="1"/>
        <v>12.032113697747286</v>
      </c>
    </row>
    <row r="99" spans="17:18" x14ac:dyDescent="0.3">
      <c r="Q99" s="32">
        <f>IF(Dados!A100="","",Dados!A100)</f>
        <v>50.5</v>
      </c>
      <c r="R99" s="32">
        <f t="shared" si="1"/>
        <v>16.074649252281429</v>
      </c>
    </row>
    <row r="100" spans="17:18" x14ac:dyDescent="0.3">
      <c r="Q100" s="32">
        <f>IF(Dados!A101="","",Dados!A101)</f>
        <v>41</v>
      </c>
      <c r="R100" s="32">
        <f t="shared" si="1"/>
        <v>13.050705333535419</v>
      </c>
    </row>
    <row r="101" spans="17:18" x14ac:dyDescent="0.3">
      <c r="Q101" s="32">
        <f>IF(Dados!A102="","",Dados!A102)</f>
        <v>20.5</v>
      </c>
      <c r="R101" s="32">
        <f t="shared" si="1"/>
        <v>6.5253526667677093</v>
      </c>
    </row>
    <row r="102" spans="17:18" x14ac:dyDescent="0.3">
      <c r="Q102" s="32">
        <f>IF(Dados!A103="","",Dados!A103)</f>
        <v>33.700000000000003</v>
      </c>
      <c r="R102" s="32">
        <f t="shared" si="1"/>
        <v>10.727043164393747</v>
      </c>
    </row>
    <row r="103" spans="17:18" x14ac:dyDescent="0.3">
      <c r="Q103" s="32">
        <f>IF(Dados!A104="","",Dados!A104)</f>
        <v>48.3</v>
      </c>
      <c r="R103" s="32">
        <f t="shared" si="1"/>
        <v>15.374367502677089</v>
      </c>
    </row>
    <row r="104" spans="17:18" x14ac:dyDescent="0.3">
      <c r="Q104" s="32">
        <f>IF(Dados!A105="","",Dados!A105)</f>
        <v>32.5</v>
      </c>
      <c r="R104" s="32">
        <f t="shared" si="1"/>
        <v>10.345071300973197</v>
      </c>
    </row>
    <row r="105" spans="17:18" x14ac:dyDescent="0.3">
      <c r="Q105" s="32">
        <f>IF(Dados!A106="","",Dados!A106)</f>
        <v>20.8</v>
      </c>
      <c r="R105" s="32">
        <f t="shared" si="1"/>
        <v>6.6208456326228466</v>
      </c>
    </row>
    <row r="106" spans="17:18" x14ac:dyDescent="0.3">
      <c r="Q106" s="32">
        <f>IF(Dados!A107="","",Dados!A107)</f>
        <v>30.9</v>
      </c>
      <c r="R106" s="32">
        <f t="shared" si="1"/>
        <v>9.8357754830791322</v>
      </c>
    </row>
    <row r="107" spans="17:18" x14ac:dyDescent="0.3">
      <c r="Q107" s="32">
        <f>IF(Dados!A108="","",Dados!A108)</f>
        <v>24</v>
      </c>
      <c r="R107" s="32">
        <f t="shared" si="1"/>
        <v>7.6394372684109761</v>
      </c>
    </row>
    <row r="108" spans="17:18" x14ac:dyDescent="0.3">
      <c r="Q108" s="32">
        <f>IF(Dados!A109="","",Dados!A109)</f>
        <v>74.599999999999994</v>
      </c>
      <c r="R108" s="32">
        <f t="shared" si="1"/>
        <v>23.745917509310782</v>
      </c>
    </row>
    <row r="109" spans="17:18" x14ac:dyDescent="0.3">
      <c r="Q109" s="32">
        <f>IF(Dados!A110="","",Dados!A110)</f>
        <v>54.6</v>
      </c>
      <c r="R109" s="32">
        <f t="shared" si="1"/>
        <v>17.379719785634972</v>
      </c>
    </row>
    <row r="110" spans="17:18" x14ac:dyDescent="0.3">
      <c r="Q110" s="32">
        <f>IF(Dados!A111="","",Dados!A111)</f>
        <v>71.3</v>
      </c>
      <c r="R110" s="32">
        <f t="shared" si="1"/>
        <v>22.695494884904274</v>
      </c>
    </row>
    <row r="111" spans="17:18" x14ac:dyDescent="0.3">
      <c r="Q111" s="32">
        <f>IF(Dados!A112="","",Dados!A112)</f>
        <v>98.5</v>
      </c>
      <c r="R111" s="32">
        <f t="shared" si="1"/>
        <v>31.353523789103381</v>
      </c>
    </row>
    <row r="112" spans="17:18" x14ac:dyDescent="0.3">
      <c r="Q112" s="32">
        <f>IF(Dados!A113="","",Dados!A113)</f>
        <v>90.8</v>
      </c>
      <c r="R112" s="32">
        <f t="shared" si="1"/>
        <v>28.902537665488193</v>
      </c>
    </row>
    <row r="113" spans="17:18" x14ac:dyDescent="0.3">
      <c r="Q113" s="32">
        <f>IF(Dados!A114="","",Dados!A114)</f>
        <v>147</v>
      </c>
      <c r="R113" s="32">
        <f t="shared" si="1"/>
        <v>46.791553269017228</v>
      </c>
    </row>
    <row r="114" spans="17:18" x14ac:dyDescent="0.3">
      <c r="Q114" s="32">
        <f>IF(Dados!A115="","",Dados!A115)</f>
        <v>103</v>
      </c>
      <c r="R114" s="32">
        <f t="shared" si="1"/>
        <v>32.785918276930438</v>
      </c>
    </row>
    <row r="115" spans="17:18" x14ac:dyDescent="0.3">
      <c r="Q115" s="32">
        <f>IF(Dados!A116="","",Dados!A116)</f>
        <v>114.9</v>
      </c>
      <c r="R115" s="32">
        <f t="shared" si="1"/>
        <v>36.57380592251755</v>
      </c>
    </row>
    <row r="116" spans="17:18" x14ac:dyDescent="0.3">
      <c r="Q116" s="32">
        <f>IF(Dados!A117="","",Dados!A117)</f>
        <v>132.6</v>
      </c>
      <c r="R116" s="32">
        <f t="shared" si="1"/>
        <v>42.207890907970643</v>
      </c>
    </row>
    <row r="117" spans="17:18" x14ac:dyDescent="0.3">
      <c r="Q117" s="32">
        <f>IF(Dados!A118="","",Dados!A118)</f>
        <v>37.4</v>
      </c>
      <c r="R117" s="32">
        <f t="shared" si="1"/>
        <v>11.904789743273771</v>
      </c>
    </row>
    <row r="118" spans="17:18" x14ac:dyDescent="0.3">
      <c r="Q118" s="32">
        <f>IF(Dados!A119="","",Dados!A119)</f>
        <v>17</v>
      </c>
      <c r="R118" s="32">
        <f t="shared" si="1"/>
        <v>5.4112680651244416</v>
      </c>
    </row>
    <row r="119" spans="17:18" x14ac:dyDescent="0.3">
      <c r="Q119" s="32">
        <f>IF(Dados!A120="","",Dados!A120)</f>
        <v>31.5</v>
      </c>
      <c r="R119" s="32">
        <f t="shared" si="1"/>
        <v>10.026761414789407</v>
      </c>
    </row>
    <row r="120" spans="17:18" x14ac:dyDescent="0.3">
      <c r="Q120" s="32">
        <f>IF(Dados!A121="","",Dados!A121)</f>
        <v>37.799999999999997</v>
      </c>
      <c r="R120" s="32">
        <f t="shared" si="1"/>
        <v>12.032113697747286</v>
      </c>
    </row>
    <row r="121" spans="17:18" x14ac:dyDescent="0.3">
      <c r="Q121" s="32">
        <f>IF(Dados!A122="","",Dados!A122)</f>
        <v>62.3</v>
      </c>
      <c r="R121" s="32">
        <f t="shared" si="1"/>
        <v>19.83070590925016</v>
      </c>
    </row>
    <row r="122" spans="17:18" x14ac:dyDescent="0.3">
      <c r="Q122" s="32">
        <f>IF(Dados!A123="","",Dados!A123)</f>
        <v>35.200000000000003</v>
      </c>
      <c r="R122" s="32">
        <f t="shared" si="1"/>
        <v>11.204507993669433</v>
      </c>
    </row>
    <row r="123" spans="17:18" x14ac:dyDescent="0.3">
      <c r="Q123" s="32">
        <f>IF(Dados!A124="","",Dados!A124)</f>
        <v>22.1</v>
      </c>
      <c r="R123" s="32">
        <f t="shared" si="1"/>
        <v>7.0346484846617745</v>
      </c>
    </row>
    <row r="124" spans="17:18" x14ac:dyDescent="0.3">
      <c r="Q124" s="32">
        <f>IF(Dados!A125="","",Dados!A125)</f>
        <v>94.3</v>
      </c>
      <c r="R124" s="32">
        <f t="shared" si="1"/>
        <v>30.01662226713146</v>
      </c>
    </row>
    <row r="125" spans="17:18" x14ac:dyDescent="0.3">
      <c r="Q125" s="32">
        <f>IF(Dados!A126="","",Dados!A126)</f>
        <v>36.4</v>
      </c>
      <c r="R125" s="32">
        <f t="shared" si="1"/>
        <v>11.58647985708998</v>
      </c>
    </row>
    <row r="126" spans="17:18" x14ac:dyDescent="0.3">
      <c r="Q126" s="32">
        <f>IF(Dados!A127="","",Dados!A127)</f>
        <v>23.5</v>
      </c>
      <c r="R126" s="32">
        <f t="shared" si="1"/>
        <v>7.4802823253190809</v>
      </c>
    </row>
    <row r="127" spans="17:18" x14ac:dyDescent="0.3">
      <c r="Q127" s="32">
        <f>IF(Dados!A128="","",Dados!A128)</f>
        <v>25.5</v>
      </c>
      <c r="R127" s="32">
        <f t="shared" si="1"/>
        <v>8.1169020976866619</v>
      </c>
    </row>
    <row r="128" spans="17:18" x14ac:dyDescent="0.3">
      <c r="Q128" s="32">
        <f>IF(Dados!A129="","",Dados!A129)</f>
        <v>19.5</v>
      </c>
      <c r="R128" s="32">
        <f t="shared" si="1"/>
        <v>6.2070427805839179</v>
      </c>
    </row>
    <row r="129" spans="17:18" x14ac:dyDescent="0.3">
      <c r="Q129" s="32">
        <f>IF(Dados!A130="","",Dados!A130)</f>
        <v>29.7</v>
      </c>
      <c r="R129" s="32">
        <f t="shared" si="1"/>
        <v>9.4538036196585828</v>
      </c>
    </row>
    <row r="130" spans="17:18" x14ac:dyDescent="0.3">
      <c r="Q130" s="32">
        <f>IF(Dados!A131="","",Dados!A131)</f>
        <v>18.8</v>
      </c>
      <c r="R130" s="32">
        <f t="shared" si="1"/>
        <v>5.9842258602552647</v>
      </c>
    </row>
    <row r="131" spans="17:18" x14ac:dyDescent="0.3">
      <c r="Q131" s="32">
        <f>IF(Dados!A132="","",Dados!A132)</f>
        <v>27.3</v>
      </c>
      <c r="R131" s="32">
        <f t="shared" ref="R131:R194" si="2">Q131/PI()</f>
        <v>8.6898598928174859</v>
      </c>
    </row>
    <row r="132" spans="17:18" x14ac:dyDescent="0.3">
      <c r="Q132" s="32">
        <f>IF(Dados!A133="","",Dados!A133)</f>
        <v>24.8</v>
      </c>
      <c r="R132" s="32">
        <f t="shared" si="2"/>
        <v>7.8940851773580096</v>
      </c>
    </row>
    <row r="133" spans="17:18" x14ac:dyDescent="0.3">
      <c r="Q133" s="32">
        <f>IF(Dados!A134="","",Dados!A134)</f>
        <v>25.5</v>
      </c>
      <c r="R133" s="32">
        <f t="shared" si="2"/>
        <v>8.1169020976866619</v>
      </c>
    </row>
    <row r="134" spans="17:18" x14ac:dyDescent="0.3">
      <c r="Q134" s="32">
        <f>IF(Dados!A135="","",Dados!A135)</f>
        <v>16</v>
      </c>
      <c r="R134" s="32">
        <f t="shared" si="2"/>
        <v>5.0929581789406511</v>
      </c>
    </row>
    <row r="135" spans="17:18" x14ac:dyDescent="0.3">
      <c r="Q135" s="32">
        <f>IF(Dados!A136="","",Dados!A136)</f>
        <v>22.3</v>
      </c>
      <c r="R135" s="32">
        <f t="shared" si="2"/>
        <v>7.0983104618985324</v>
      </c>
    </row>
    <row r="136" spans="17:18" x14ac:dyDescent="0.3">
      <c r="Q136" s="32">
        <f>IF(Dados!A137="","",Dados!A137)</f>
        <v>24</v>
      </c>
      <c r="R136" s="32">
        <f t="shared" si="2"/>
        <v>7.6394372684109761</v>
      </c>
    </row>
    <row r="137" spans="17:18" x14ac:dyDescent="0.3">
      <c r="Q137" s="32">
        <f>IF(Dados!A138="","",Dados!A138)</f>
        <v>34.1</v>
      </c>
      <c r="R137" s="32">
        <f t="shared" si="2"/>
        <v>10.854367118867263</v>
      </c>
    </row>
    <row r="138" spans="17:18" x14ac:dyDescent="0.3">
      <c r="Q138" s="32">
        <f>IF(Dados!A139="","",Dados!A139)</f>
        <v>55.6</v>
      </c>
      <c r="R138" s="32">
        <f t="shared" si="2"/>
        <v>17.698029671818762</v>
      </c>
    </row>
    <row r="139" spans="17:18" x14ac:dyDescent="0.3">
      <c r="Q139" s="32">
        <f>IF(Dados!A140="","",Dados!A140)</f>
        <v>29.8</v>
      </c>
      <c r="R139" s="32">
        <f t="shared" si="2"/>
        <v>9.4856346082769623</v>
      </c>
    </row>
    <row r="140" spans="17:18" x14ac:dyDescent="0.3">
      <c r="Q140" s="32">
        <f>IF(Dados!A141="","",Dados!A141)</f>
        <v>26.5</v>
      </c>
      <c r="R140" s="32">
        <f t="shared" si="2"/>
        <v>8.4352119838704525</v>
      </c>
    </row>
    <row r="141" spans="17:18" x14ac:dyDescent="0.3">
      <c r="Q141" s="32">
        <f>IF(Dados!A142="","",Dados!A142)</f>
        <v>62.8</v>
      </c>
      <c r="R141" s="32">
        <f t="shared" si="2"/>
        <v>19.989860852342055</v>
      </c>
    </row>
    <row r="142" spans="17:18" x14ac:dyDescent="0.3">
      <c r="Q142" s="32">
        <f>IF(Dados!A143="","",Dados!A143)</f>
        <v>81.8</v>
      </c>
      <c r="R142" s="32">
        <f t="shared" si="2"/>
        <v>26.037748689834078</v>
      </c>
    </row>
    <row r="143" spans="17:18" x14ac:dyDescent="0.3">
      <c r="Q143" s="32">
        <f>IF(Dados!A144="","",Dados!A144)</f>
        <v>42.3</v>
      </c>
      <c r="R143" s="32">
        <f t="shared" si="2"/>
        <v>13.464508185574346</v>
      </c>
    </row>
    <row r="144" spans="17:18" x14ac:dyDescent="0.3">
      <c r="Q144" s="32">
        <f>IF(Dados!A145="","",Dados!A145)</f>
        <v>112</v>
      </c>
      <c r="R144" s="32">
        <f t="shared" si="2"/>
        <v>35.65070725258456</v>
      </c>
    </row>
    <row r="145" spans="17:18" x14ac:dyDescent="0.3">
      <c r="Q145" s="32">
        <f>IF(Dados!A146="","",Dados!A146)</f>
        <v>83</v>
      </c>
      <c r="R145" s="32">
        <f t="shared" si="2"/>
        <v>26.419720553254628</v>
      </c>
    </row>
    <row r="146" spans="17:18" x14ac:dyDescent="0.3">
      <c r="Q146" s="32">
        <f>IF(Dados!A147="","",Dados!A147)</f>
        <v>58</v>
      </c>
      <c r="R146" s="32">
        <f t="shared" si="2"/>
        <v>18.461973398659861</v>
      </c>
    </row>
    <row r="147" spans="17:18" x14ac:dyDescent="0.3">
      <c r="Q147" s="32">
        <f>IF(Dados!A148="","",Dados!A148)</f>
        <v>58.5</v>
      </c>
      <c r="R147" s="32">
        <f t="shared" si="2"/>
        <v>18.621128341751756</v>
      </c>
    </row>
    <row r="148" spans="17:18" x14ac:dyDescent="0.3">
      <c r="Q148" s="32">
        <f>IF(Dados!A149="","",Dados!A149)</f>
        <v>27.7</v>
      </c>
      <c r="R148" s="32">
        <f t="shared" si="2"/>
        <v>8.8171838472910018</v>
      </c>
    </row>
    <row r="149" spans="17:18" x14ac:dyDescent="0.3">
      <c r="Q149" s="32">
        <f>IF(Dados!A150="","",Dados!A150)</f>
        <v>18</v>
      </c>
      <c r="R149" s="32">
        <f t="shared" si="2"/>
        <v>5.7295779513082321</v>
      </c>
    </row>
    <row r="150" spans="17:18" x14ac:dyDescent="0.3">
      <c r="Q150" s="32">
        <f>IF(Dados!A151="","",Dados!A151)</f>
        <v>112</v>
      </c>
      <c r="R150" s="32">
        <f t="shared" si="2"/>
        <v>35.65070725258456</v>
      </c>
    </row>
    <row r="151" spans="17:18" x14ac:dyDescent="0.3">
      <c r="Q151" s="32">
        <f>IF(Dados!A152="","",Dados!A152)</f>
        <v>93.5</v>
      </c>
      <c r="R151" s="32">
        <f t="shared" si="2"/>
        <v>29.761974358184428</v>
      </c>
    </row>
    <row r="152" spans="17:18" x14ac:dyDescent="0.3">
      <c r="Q152" s="32">
        <f>IF(Dados!A153="","",Dados!A153)</f>
        <v>111.4</v>
      </c>
      <c r="R152" s="32">
        <f t="shared" si="2"/>
        <v>35.459721320874287</v>
      </c>
    </row>
    <row r="153" spans="17:18" x14ac:dyDescent="0.3">
      <c r="Q153" s="32">
        <f>IF(Dados!A154="","",Dados!A154)</f>
        <v>37</v>
      </c>
      <c r="R153" s="32">
        <f t="shared" si="2"/>
        <v>11.777465788800255</v>
      </c>
    </row>
    <row r="154" spans="17:18" x14ac:dyDescent="0.3">
      <c r="Q154" s="32">
        <f>IF(Dados!A155="","",Dados!A155)</f>
        <v>94.1</v>
      </c>
      <c r="R154" s="32">
        <f t="shared" si="2"/>
        <v>29.952960289894701</v>
      </c>
    </row>
    <row r="155" spans="17:18" x14ac:dyDescent="0.3">
      <c r="Q155" s="32">
        <f>IF(Dados!A156="","",Dados!A156)</f>
        <v>63</v>
      </c>
      <c r="R155" s="32">
        <f t="shared" si="2"/>
        <v>20.053522829578814</v>
      </c>
    </row>
    <row r="156" spans="17:18" x14ac:dyDescent="0.3">
      <c r="Q156" s="32">
        <f>IF(Dados!A157="","",Dados!A157)</f>
        <v>15.5</v>
      </c>
      <c r="R156" s="32">
        <f t="shared" si="2"/>
        <v>4.9338032358487558</v>
      </c>
    </row>
    <row r="157" spans="17:18" x14ac:dyDescent="0.3">
      <c r="Q157" s="32">
        <f>IF(Dados!A158="","",Dados!A158)</f>
        <v>31.2</v>
      </c>
      <c r="R157" s="32">
        <f t="shared" si="2"/>
        <v>9.9312684489342686</v>
      </c>
    </row>
    <row r="158" spans="17:18" x14ac:dyDescent="0.3">
      <c r="Q158" s="32">
        <f>IF(Dados!A159="","",Dados!A159)</f>
        <v>20</v>
      </c>
      <c r="R158" s="32">
        <f t="shared" si="2"/>
        <v>6.366197723675814</v>
      </c>
    </row>
    <row r="159" spans="17:18" x14ac:dyDescent="0.3">
      <c r="Q159" s="32">
        <f>IF(Dados!A160="","",Dados!A160)</f>
        <v>29.5</v>
      </c>
      <c r="R159" s="32">
        <f t="shared" si="2"/>
        <v>9.3901416424218258</v>
      </c>
    </row>
    <row r="160" spans="17:18" x14ac:dyDescent="0.3">
      <c r="Q160" s="32">
        <f>IF(Dados!A161="","",Dados!A161)</f>
        <v>72.3</v>
      </c>
      <c r="R160" s="32">
        <f t="shared" si="2"/>
        <v>23.013804771088065</v>
      </c>
    </row>
    <row r="161" spans="17:18" x14ac:dyDescent="0.3">
      <c r="Q161" s="32">
        <f>IF(Dados!A162="","",Dados!A162)</f>
        <v>21.3</v>
      </c>
      <c r="R161" s="32">
        <f t="shared" si="2"/>
        <v>6.7800005757147419</v>
      </c>
    </row>
    <row r="162" spans="17:18" x14ac:dyDescent="0.3">
      <c r="Q162" s="32">
        <f>IF(Dados!A163="","",Dados!A163)</f>
        <v>24.2</v>
      </c>
      <c r="R162" s="32">
        <f t="shared" si="2"/>
        <v>7.7030992456477341</v>
      </c>
    </row>
    <row r="163" spans="17:18" x14ac:dyDescent="0.3">
      <c r="Q163" s="32">
        <f>IF(Dados!A164="","",Dados!A164)</f>
        <v>26.1</v>
      </c>
      <c r="R163" s="32">
        <f t="shared" si="2"/>
        <v>8.3078880293969366</v>
      </c>
    </row>
    <row r="164" spans="17:18" x14ac:dyDescent="0.3">
      <c r="Q164" s="32">
        <f>IF(Dados!A165="","",Dados!A165)</f>
        <v>37.1</v>
      </c>
      <c r="R164" s="32">
        <f t="shared" si="2"/>
        <v>11.809296777418634</v>
      </c>
    </row>
    <row r="165" spans="17:18" x14ac:dyDescent="0.3">
      <c r="Q165" s="32">
        <f>IF(Dados!A166="","",Dados!A166)</f>
        <v>79.900000000000006</v>
      </c>
      <c r="R165" s="32">
        <f t="shared" si="2"/>
        <v>25.432959906084879</v>
      </c>
    </row>
    <row r="166" spans="17:18" x14ac:dyDescent="0.3">
      <c r="Q166" s="32">
        <f>IF(Dados!A167="","",Dados!A167)</f>
        <v>87</v>
      </c>
      <c r="R166" s="32">
        <f t="shared" si="2"/>
        <v>27.69296009798979</v>
      </c>
    </row>
    <row r="167" spans="17:18" x14ac:dyDescent="0.3">
      <c r="Q167" s="32">
        <f>IF(Dados!A168="","",Dados!A168)</f>
        <v>51.3</v>
      </c>
      <c r="R167" s="32">
        <f t="shared" si="2"/>
        <v>16.32929716122846</v>
      </c>
    </row>
    <row r="168" spans="17:18" x14ac:dyDescent="0.3">
      <c r="Q168" s="32">
        <f>IF(Dados!A169="","",Dados!A169)</f>
        <v>57.2</v>
      </c>
      <c r="R168" s="32">
        <f t="shared" si="2"/>
        <v>18.207325489712829</v>
      </c>
    </row>
    <row r="169" spans="17:18" x14ac:dyDescent="0.3">
      <c r="Q169" s="32">
        <f>IF(Dados!A170="","",Dados!A170)</f>
        <v>43.7</v>
      </c>
      <c r="R169" s="32">
        <f t="shared" si="2"/>
        <v>13.910142026231654</v>
      </c>
    </row>
    <row r="170" spans="17:18" x14ac:dyDescent="0.3">
      <c r="Q170" s="32">
        <f>IF(Dados!A171="","",Dados!A171)</f>
        <v>83</v>
      </c>
      <c r="R170" s="32">
        <f t="shared" si="2"/>
        <v>26.419720553254628</v>
      </c>
    </row>
    <row r="171" spans="17:18" x14ac:dyDescent="0.3">
      <c r="Q171" s="32">
        <f>IF(Dados!A172="","",Dados!A172)</f>
        <v>83.7</v>
      </c>
      <c r="R171" s="32">
        <f t="shared" si="2"/>
        <v>26.642537473583282</v>
      </c>
    </row>
    <row r="172" spans="17:18" x14ac:dyDescent="0.3">
      <c r="Q172" s="32">
        <f>IF(Dados!A173="","",Dados!A173)</f>
        <v>36.5</v>
      </c>
      <c r="R172" s="32">
        <f t="shared" si="2"/>
        <v>11.618310845708359</v>
      </c>
    </row>
    <row r="173" spans="17:18" x14ac:dyDescent="0.3">
      <c r="Q173" s="32">
        <f>IF(Dados!A174="","",Dados!A174)</f>
        <v>41.1</v>
      </c>
      <c r="R173" s="32">
        <f t="shared" si="2"/>
        <v>13.082536322153798</v>
      </c>
    </row>
    <row r="174" spans="17:18" x14ac:dyDescent="0.3">
      <c r="Q174" s="32">
        <f>IF(Dados!A175="","",Dados!A175)</f>
        <v>26.4</v>
      </c>
      <c r="R174" s="32">
        <f t="shared" si="2"/>
        <v>8.403380995252073</v>
      </c>
    </row>
    <row r="175" spans="17:18" x14ac:dyDescent="0.3">
      <c r="Q175" s="32">
        <f>IF(Dados!A176="","",Dados!A176)</f>
        <v>22.1</v>
      </c>
      <c r="R175" s="32">
        <f t="shared" si="2"/>
        <v>7.0346484846617745</v>
      </c>
    </row>
    <row r="176" spans="17:18" x14ac:dyDescent="0.3">
      <c r="Q176" s="32">
        <f>IF(Dados!A177="","",Dados!A177)</f>
        <v>43.9</v>
      </c>
      <c r="R176" s="32">
        <f t="shared" si="2"/>
        <v>13.973804003468411</v>
      </c>
    </row>
    <row r="177" spans="17:18" x14ac:dyDescent="0.3">
      <c r="Q177" s="32">
        <f>IF(Dados!A178="","",Dados!A178)</f>
        <v>41.9</v>
      </c>
      <c r="R177" s="32">
        <f t="shared" si="2"/>
        <v>13.33718423110083</v>
      </c>
    </row>
    <row r="178" spans="17:18" x14ac:dyDescent="0.3">
      <c r="Q178" s="32">
        <f>IF(Dados!A179="","",Dados!A179)</f>
        <v>64</v>
      </c>
      <c r="R178" s="32">
        <f t="shared" si="2"/>
        <v>20.371832715762604</v>
      </c>
    </row>
    <row r="179" spans="17:18" x14ac:dyDescent="0.3">
      <c r="Q179" s="32">
        <f>IF(Dados!A180="","",Dados!A180)</f>
        <v>35.5</v>
      </c>
      <c r="R179" s="32">
        <f t="shared" si="2"/>
        <v>11.300000959524569</v>
      </c>
    </row>
    <row r="180" spans="17:18" x14ac:dyDescent="0.3">
      <c r="Q180" s="32">
        <f>IF(Dados!A181="","",Dados!A181)</f>
        <v>26.7</v>
      </c>
      <c r="R180" s="32">
        <f t="shared" si="2"/>
        <v>8.4988739611072113</v>
      </c>
    </row>
    <row r="181" spans="17:18" x14ac:dyDescent="0.3">
      <c r="Q181" s="32">
        <f>IF(Dados!A182="","",Dados!A182)</f>
        <v>62</v>
      </c>
      <c r="R181" s="32">
        <f t="shared" si="2"/>
        <v>19.735212943395023</v>
      </c>
    </row>
    <row r="182" spans="17:18" x14ac:dyDescent="0.3">
      <c r="Q182" s="32">
        <f>IF(Dados!A183="","",Dados!A183)</f>
        <v>54.3</v>
      </c>
      <c r="R182" s="32">
        <f t="shared" si="2"/>
        <v>17.284226819779832</v>
      </c>
    </row>
    <row r="183" spans="17:18" x14ac:dyDescent="0.3">
      <c r="Q183" s="32">
        <f>IF(Dados!A184="","",Dados!A184)</f>
        <v>52.3</v>
      </c>
      <c r="R183" s="32">
        <f t="shared" si="2"/>
        <v>16.647607047412251</v>
      </c>
    </row>
    <row r="184" spans="17:18" x14ac:dyDescent="0.3">
      <c r="Q184" s="32">
        <f>IF(Dados!A185="","",Dados!A185)</f>
        <v>110</v>
      </c>
      <c r="R184" s="32">
        <f t="shared" si="2"/>
        <v>35.014087480216972</v>
      </c>
    </row>
    <row r="185" spans="17:18" x14ac:dyDescent="0.3">
      <c r="Q185" s="32">
        <f>IF(Dados!A186="","",Dados!A186)</f>
        <v>93.2</v>
      </c>
      <c r="R185" s="32">
        <f t="shared" si="2"/>
        <v>29.666481392329292</v>
      </c>
    </row>
    <row r="186" spans="17:18" x14ac:dyDescent="0.3">
      <c r="Q186" s="32">
        <f>IF(Dados!A187="","",Dados!A187)</f>
        <v>117.7</v>
      </c>
      <c r="R186" s="32">
        <f t="shared" si="2"/>
        <v>37.465073603832167</v>
      </c>
    </row>
    <row r="187" spans="17:18" x14ac:dyDescent="0.3">
      <c r="Q187" s="32">
        <f>IF(Dados!A188="","",Dados!A188)</f>
        <v>73.5</v>
      </c>
      <c r="R187" s="32">
        <f t="shared" si="2"/>
        <v>23.395776634508614</v>
      </c>
    </row>
    <row r="188" spans="17:18" x14ac:dyDescent="0.3">
      <c r="Q188" s="32">
        <f>IF(Dados!A189="","",Dados!A189)</f>
        <v>43</v>
      </c>
      <c r="R188" s="32">
        <f t="shared" si="2"/>
        <v>13.687325105903</v>
      </c>
    </row>
    <row r="189" spans="17:18" x14ac:dyDescent="0.3">
      <c r="Q189" s="32">
        <f>IF(Dados!A190="","",Dados!A190)</f>
        <v>22.4</v>
      </c>
      <c r="R189" s="32">
        <f t="shared" si="2"/>
        <v>7.130141450516911</v>
      </c>
    </row>
    <row r="190" spans="17:18" x14ac:dyDescent="0.3">
      <c r="Q190" s="32">
        <f>IF(Dados!A191="","",Dados!A191)</f>
        <v>88</v>
      </c>
      <c r="R190" s="32">
        <f t="shared" si="2"/>
        <v>28.01126998417358</v>
      </c>
    </row>
    <row r="191" spans="17:18" x14ac:dyDescent="0.3">
      <c r="Q191" s="32">
        <f>IF(Dados!A192="","",Dados!A192)</f>
        <v>106.5</v>
      </c>
      <c r="R191" s="32">
        <f t="shared" si="2"/>
        <v>33.900002878573709</v>
      </c>
    </row>
    <row r="192" spans="17:18" x14ac:dyDescent="0.3">
      <c r="Q192" s="32">
        <f>IF(Dados!A193="","",Dados!A193)</f>
        <v>98</v>
      </c>
      <c r="R192" s="32">
        <f t="shared" si="2"/>
        <v>31.194368846011486</v>
      </c>
    </row>
    <row r="193" spans="17:18" x14ac:dyDescent="0.3">
      <c r="Q193" s="32">
        <f>IF(Dados!A194="","",Dados!A194)</f>
        <v>125.5</v>
      </c>
      <c r="R193" s="32">
        <f t="shared" si="2"/>
        <v>39.947890716065729</v>
      </c>
    </row>
    <row r="194" spans="17:18" x14ac:dyDescent="0.3">
      <c r="Q194" s="32">
        <f>IF(Dados!A195="","",Dados!A195)</f>
        <v>29.4</v>
      </c>
      <c r="R194" s="32">
        <f t="shared" si="2"/>
        <v>9.3583106538034464</v>
      </c>
    </row>
    <row r="195" spans="17:18" x14ac:dyDescent="0.3">
      <c r="Q195" s="32">
        <f>IF(Dados!A196="","",Dados!A196)</f>
        <v>25.5</v>
      </c>
      <c r="R195" s="32">
        <f t="shared" ref="R195:R258" si="3">Q195/PI()</f>
        <v>8.1169020976866619</v>
      </c>
    </row>
    <row r="196" spans="17:18" x14ac:dyDescent="0.3">
      <c r="Q196" s="32">
        <f>IF(Dados!A197="","",Dados!A197)</f>
        <v>23</v>
      </c>
      <c r="R196" s="32">
        <f t="shared" si="3"/>
        <v>7.3211273822271856</v>
      </c>
    </row>
    <row r="197" spans="17:18" x14ac:dyDescent="0.3">
      <c r="Q197" s="32">
        <f>IF(Dados!A198="","",Dados!A198)</f>
        <v>18.899999999999999</v>
      </c>
      <c r="R197" s="32">
        <f t="shared" si="3"/>
        <v>6.0160568488736432</v>
      </c>
    </row>
    <row r="198" spans="17:18" x14ac:dyDescent="0.3">
      <c r="Q198" s="32">
        <f>IF(Dados!A199="","",Dados!A199)</f>
        <v>17</v>
      </c>
      <c r="R198" s="32">
        <f t="shared" si="3"/>
        <v>5.4112680651244416</v>
      </c>
    </row>
    <row r="199" spans="17:18" x14ac:dyDescent="0.3">
      <c r="Q199" s="32">
        <f>IF(Dados!A200="","",Dados!A200)</f>
        <v>37.5</v>
      </c>
      <c r="R199" s="32">
        <f t="shared" si="3"/>
        <v>11.93662073189215</v>
      </c>
    </row>
    <row r="200" spans="17:18" x14ac:dyDescent="0.3">
      <c r="Q200" s="32">
        <f>IF(Dados!A201="","",Dados!A201)</f>
        <v>28.1</v>
      </c>
      <c r="R200" s="32">
        <f t="shared" si="3"/>
        <v>8.9445078017645194</v>
      </c>
    </row>
    <row r="201" spans="17:18" x14ac:dyDescent="0.3">
      <c r="Q201" s="32">
        <f>IF(Dados!A202="","",Dados!A202)</f>
        <v>65.099999999999994</v>
      </c>
      <c r="R201" s="32">
        <f t="shared" si="3"/>
        <v>20.721973590564772</v>
      </c>
    </row>
    <row r="202" spans="17:18" x14ac:dyDescent="0.3">
      <c r="Q202" s="32">
        <f>IF(Dados!A203="","",Dados!A203)</f>
        <v>19.5</v>
      </c>
      <c r="R202" s="32">
        <f t="shared" si="3"/>
        <v>6.2070427805839179</v>
      </c>
    </row>
    <row r="203" spans="17:18" x14ac:dyDescent="0.3">
      <c r="Q203" s="32">
        <f>IF(Dados!A204="","",Dados!A204)</f>
        <v>24.2</v>
      </c>
      <c r="R203" s="32">
        <f t="shared" si="3"/>
        <v>7.7030992456477341</v>
      </c>
    </row>
    <row r="204" spans="17:18" x14ac:dyDescent="0.3">
      <c r="Q204" s="32">
        <f>IF(Dados!A205="","",Dados!A205)</f>
        <v>21.2</v>
      </c>
      <c r="R204" s="32">
        <f t="shared" si="3"/>
        <v>6.7481695870963625</v>
      </c>
    </row>
    <row r="205" spans="17:18" x14ac:dyDescent="0.3">
      <c r="Q205" s="32">
        <f>IF(Dados!A206="","",Dados!A206)</f>
        <v>23.8</v>
      </c>
      <c r="R205" s="32">
        <f t="shared" si="3"/>
        <v>7.5757752911742182</v>
      </c>
    </row>
    <row r="206" spans="17:18" x14ac:dyDescent="0.3">
      <c r="Q206" s="32">
        <f>IF(Dados!A207="","",Dados!A207)</f>
        <v>17.5</v>
      </c>
      <c r="R206" s="32">
        <f t="shared" si="3"/>
        <v>5.5704230082163368</v>
      </c>
    </row>
    <row r="207" spans="17:18" x14ac:dyDescent="0.3">
      <c r="Q207" s="32">
        <f>IF(Dados!A208="","",Dados!A208)</f>
        <v>34.6</v>
      </c>
      <c r="R207" s="32">
        <f t="shared" si="3"/>
        <v>11.013522061959158</v>
      </c>
    </row>
    <row r="208" spans="17:18" x14ac:dyDescent="0.3">
      <c r="Q208" s="32">
        <f>IF(Dados!A209="","",Dados!A209)</f>
        <v>27</v>
      </c>
      <c r="R208" s="32">
        <f t="shared" si="3"/>
        <v>8.5943669269623477</v>
      </c>
    </row>
    <row r="209" spans="17:18" x14ac:dyDescent="0.3">
      <c r="Q209" s="32">
        <f>IF(Dados!A210="","",Dados!A210)</f>
        <v>29.4</v>
      </c>
      <c r="R209" s="32">
        <f t="shared" si="3"/>
        <v>9.3583106538034464</v>
      </c>
    </row>
    <row r="210" spans="17:18" x14ac:dyDescent="0.3">
      <c r="Q210" s="32">
        <f>IF(Dados!A211="","",Dados!A211)</f>
        <v>47.8</v>
      </c>
      <c r="R210" s="32">
        <f t="shared" si="3"/>
        <v>15.215212559585193</v>
      </c>
    </row>
    <row r="211" spans="17:18" x14ac:dyDescent="0.3">
      <c r="Q211" s="32">
        <f>IF(Dados!A212="","",Dados!A212)</f>
        <v>18</v>
      </c>
      <c r="R211" s="32">
        <f t="shared" si="3"/>
        <v>5.7295779513082321</v>
      </c>
    </row>
    <row r="212" spans="17:18" x14ac:dyDescent="0.3">
      <c r="Q212" s="32">
        <f>IF(Dados!A213="","",Dados!A213)</f>
        <v>66</v>
      </c>
      <c r="R212" s="32">
        <f t="shared" si="3"/>
        <v>21.008452488130185</v>
      </c>
    </row>
    <row r="213" spans="17:18" x14ac:dyDescent="0.3">
      <c r="Q213" s="32">
        <f>IF(Dados!A214="","",Dados!A214)</f>
        <v>52</v>
      </c>
      <c r="R213" s="32">
        <f t="shared" si="3"/>
        <v>16.552114081557114</v>
      </c>
    </row>
    <row r="214" spans="17:18" x14ac:dyDescent="0.3">
      <c r="Q214" s="32">
        <f>IF(Dados!A215="","",Dados!A215)</f>
        <v>71.5</v>
      </c>
      <c r="R214" s="32">
        <f t="shared" si="3"/>
        <v>22.759156862141033</v>
      </c>
    </row>
    <row r="215" spans="17:18" x14ac:dyDescent="0.3">
      <c r="Q215" s="32">
        <f>IF(Dados!A216="","",Dados!A216)</f>
        <v>37.700000000000003</v>
      </c>
      <c r="R215" s="32">
        <f t="shared" si="3"/>
        <v>12.000282709128909</v>
      </c>
    </row>
    <row r="216" spans="17:18" x14ac:dyDescent="0.3">
      <c r="Q216" s="32">
        <f>IF(Dados!A217="","",Dados!A217)</f>
        <v>120.4</v>
      </c>
      <c r="R216" s="32">
        <f t="shared" si="3"/>
        <v>38.324510296528402</v>
      </c>
    </row>
    <row r="217" spans="17:18" x14ac:dyDescent="0.3">
      <c r="Q217" s="32">
        <f>IF(Dados!A218="","",Dados!A218)</f>
        <v>78.7</v>
      </c>
      <c r="R217" s="32">
        <f t="shared" si="3"/>
        <v>25.050988042664329</v>
      </c>
    </row>
    <row r="218" spans="17:18" x14ac:dyDescent="0.3">
      <c r="Q218" s="32">
        <f>IF(Dados!A219="","",Dados!A219)</f>
        <v>114.4</v>
      </c>
      <c r="R218" s="32">
        <f t="shared" si="3"/>
        <v>36.414650979425659</v>
      </c>
    </row>
    <row r="219" spans="17:18" x14ac:dyDescent="0.3">
      <c r="Q219" s="32">
        <f>IF(Dados!A220="","",Dados!A220)</f>
        <v>43.5</v>
      </c>
      <c r="R219" s="32">
        <f t="shared" si="3"/>
        <v>13.846480048994895</v>
      </c>
    </row>
    <row r="220" spans="17:18" x14ac:dyDescent="0.3">
      <c r="Q220" s="32">
        <f>IF(Dados!A221="","",Dados!A221)</f>
        <v>49</v>
      </c>
      <c r="R220" s="32">
        <f t="shared" si="3"/>
        <v>15.597184423005743</v>
      </c>
    </row>
    <row r="221" spans="17:18" x14ac:dyDescent="0.3">
      <c r="Q221" s="32">
        <f>IF(Dados!A222="","",Dados!A222)</f>
        <v>97</v>
      </c>
      <c r="R221" s="32">
        <f t="shared" si="3"/>
        <v>30.876058959827695</v>
      </c>
    </row>
    <row r="222" spans="17:18" x14ac:dyDescent="0.3">
      <c r="Q222" s="32">
        <f>IF(Dados!A223="","",Dados!A223)</f>
        <v>145.5</v>
      </c>
      <c r="R222" s="32">
        <f t="shared" si="3"/>
        <v>46.314088439741546</v>
      </c>
    </row>
    <row r="223" spans="17:18" x14ac:dyDescent="0.3">
      <c r="Q223" s="32">
        <f>IF(Dados!A224="","",Dados!A224)</f>
        <v>157.4</v>
      </c>
      <c r="R223" s="32">
        <f t="shared" si="3"/>
        <v>50.101976085328658</v>
      </c>
    </row>
    <row r="224" spans="17:18" x14ac:dyDescent="0.3">
      <c r="Q224" s="32">
        <f>IF(Dados!A225="","",Dados!A225)</f>
        <v>63.9</v>
      </c>
      <c r="R224" s="32">
        <f t="shared" si="3"/>
        <v>20.340001727144223</v>
      </c>
    </row>
    <row r="225" spans="17:18" x14ac:dyDescent="0.3">
      <c r="Q225" s="32">
        <f>IF(Dados!A226="","",Dados!A226)</f>
        <v>71.8</v>
      </c>
      <c r="R225" s="32">
        <f t="shared" si="3"/>
        <v>22.85464982799617</v>
      </c>
    </row>
    <row r="226" spans="17:18" x14ac:dyDescent="0.3">
      <c r="Q226" s="32">
        <f>IF(Dados!A227="","",Dados!A227)</f>
        <v>113.2</v>
      </c>
      <c r="R226" s="32">
        <f t="shared" si="3"/>
        <v>36.032679116005106</v>
      </c>
    </row>
    <row r="227" spans="17:18" x14ac:dyDescent="0.3">
      <c r="Q227" s="32">
        <f>IF(Dados!A228="","",Dados!A228)</f>
        <v>30.3</v>
      </c>
      <c r="R227" s="32">
        <f t="shared" si="3"/>
        <v>9.6447895513688575</v>
      </c>
    </row>
    <row r="228" spans="17:18" x14ac:dyDescent="0.3">
      <c r="Q228" s="32">
        <f>IF(Dados!A229="","",Dados!A229)</f>
        <v>39</v>
      </c>
      <c r="R228" s="32">
        <f t="shared" si="3"/>
        <v>12.414085561167836</v>
      </c>
    </row>
    <row r="229" spans="17:18" x14ac:dyDescent="0.3">
      <c r="Q229" s="32">
        <f>IF(Dados!A230="","",Dados!A230)</f>
        <v>63</v>
      </c>
      <c r="R229" s="32">
        <f t="shared" si="3"/>
        <v>20.053522829578814</v>
      </c>
    </row>
    <row r="230" spans="17:18" x14ac:dyDescent="0.3">
      <c r="Q230" s="32">
        <f>IF(Dados!A231="","",Dados!A231)</f>
        <v>20.6</v>
      </c>
      <c r="R230" s="32">
        <f t="shared" si="3"/>
        <v>6.5571836553860887</v>
      </c>
    </row>
    <row r="231" spans="17:18" x14ac:dyDescent="0.3">
      <c r="Q231" s="32">
        <f>IF(Dados!A232="","",Dados!A232)</f>
        <v>19.5</v>
      </c>
      <c r="R231" s="32">
        <f t="shared" si="3"/>
        <v>6.2070427805839179</v>
      </c>
    </row>
    <row r="232" spans="17:18" x14ac:dyDescent="0.3">
      <c r="Q232" s="32">
        <f>IF(Dados!A233="","",Dados!A233)</f>
        <v>15.5</v>
      </c>
      <c r="R232" s="32">
        <f t="shared" si="3"/>
        <v>4.9338032358487558</v>
      </c>
    </row>
    <row r="233" spans="17:18" x14ac:dyDescent="0.3">
      <c r="Q233" s="32">
        <f>IF(Dados!A234="","",Dados!A234)</f>
        <v>24.2</v>
      </c>
      <c r="R233" s="32">
        <f t="shared" si="3"/>
        <v>7.7030992456477341</v>
      </c>
    </row>
    <row r="234" spans="17:18" x14ac:dyDescent="0.3">
      <c r="Q234" s="32">
        <f>IF(Dados!A235="","",Dados!A235)</f>
        <v>21.5</v>
      </c>
      <c r="R234" s="32">
        <f t="shared" si="3"/>
        <v>6.8436625529514998</v>
      </c>
    </row>
    <row r="235" spans="17:18" x14ac:dyDescent="0.3">
      <c r="Q235" s="32">
        <f>IF(Dados!A236="","",Dados!A236)</f>
        <v>34.700000000000003</v>
      </c>
      <c r="R235" s="32">
        <f t="shared" si="3"/>
        <v>11.045353050577537</v>
      </c>
    </row>
    <row r="236" spans="17:18" x14ac:dyDescent="0.3">
      <c r="Q236" s="32">
        <f>IF(Dados!A237="","",Dados!A237)</f>
        <v>22.8</v>
      </c>
      <c r="R236" s="32">
        <f t="shared" si="3"/>
        <v>7.2574654049904277</v>
      </c>
    </row>
    <row r="237" spans="17:18" x14ac:dyDescent="0.3">
      <c r="Q237" s="32">
        <f>IF(Dados!A238="","",Dados!A238)</f>
        <v>18</v>
      </c>
      <c r="R237" s="32">
        <f t="shared" si="3"/>
        <v>5.7295779513082321</v>
      </c>
    </row>
    <row r="238" spans="17:18" x14ac:dyDescent="0.3">
      <c r="Q238" s="32">
        <f>IF(Dados!A239="","",Dados!A239)</f>
        <v>34.299999999999997</v>
      </c>
      <c r="R238" s="32">
        <f t="shared" si="3"/>
        <v>10.91802909610402</v>
      </c>
    </row>
    <row r="239" spans="17:18" x14ac:dyDescent="0.3">
      <c r="Q239" s="32">
        <f>IF(Dados!A240="","",Dados!A240)</f>
        <v>18.5</v>
      </c>
      <c r="R239" s="32">
        <f t="shared" si="3"/>
        <v>5.8887328944001274</v>
      </c>
    </row>
    <row r="240" spans="17:18" x14ac:dyDescent="0.3">
      <c r="Q240" s="32">
        <f>IF(Dados!A241="","",Dados!A241)</f>
        <v>33.5</v>
      </c>
      <c r="R240" s="32">
        <f t="shared" si="3"/>
        <v>10.663381187156988</v>
      </c>
    </row>
    <row r="241" spans="17:18" x14ac:dyDescent="0.3">
      <c r="Q241" s="32">
        <f>IF(Dados!A242="","",Dados!A242)</f>
        <v>29</v>
      </c>
      <c r="R241" s="32">
        <f t="shared" si="3"/>
        <v>9.2309866993299305</v>
      </c>
    </row>
    <row r="242" spans="17:18" x14ac:dyDescent="0.3">
      <c r="Q242" s="32">
        <f>IF(Dados!A243="","",Dados!A243)</f>
        <v>65.599999999999994</v>
      </c>
      <c r="R242" s="32">
        <f t="shared" si="3"/>
        <v>20.881128533656668</v>
      </c>
    </row>
    <row r="243" spans="17:18" x14ac:dyDescent="0.3">
      <c r="Q243" s="32">
        <f>IF(Dados!A244="","",Dados!A244)</f>
        <v>30</v>
      </c>
      <c r="R243" s="32">
        <f t="shared" si="3"/>
        <v>9.5492965855137211</v>
      </c>
    </row>
    <row r="244" spans="17:18" x14ac:dyDescent="0.3">
      <c r="Q244" s="32">
        <f>IF(Dados!A245="","",Dados!A245)</f>
        <v>66.099999999999994</v>
      </c>
      <c r="R244" s="32">
        <f t="shared" si="3"/>
        <v>21.040283476748563</v>
      </c>
    </row>
    <row r="245" spans="17:18" x14ac:dyDescent="0.3">
      <c r="Q245" s="32">
        <f>IF(Dados!A246="","",Dados!A246)</f>
        <v>68.599999999999994</v>
      </c>
      <c r="R245" s="32">
        <f t="shared" si="3"/>
        <v>21.836058192208039</v>
      </c>
    </row>
    <row r="246" spans="17:18" x14ac:dyDescent="0.3">
      <c r="Q246" s="32">
        <f>IF(Dados!A247="","",Dados!A247)</f>
        <v>31</v>
      </c>
      <c r="R246" s="32">
        <f t="shared" si="3"/>
        <v>9.8676064716975116</v>
      </c>
    </row>
    <row r="247" spans="17:18" x14ac:dyDescent="0.3">
      <c r="Q247" s="32">
        <f>IF(Dados!A248="","",Dados!A248)</f>
        <v>126</v>
      </c>
      <c r="R247" s="32">
        <f t="shared" si="3"/>
        <v>40.107045659157627</v>
      </c>
    </row>
    <row r="248" spans="17:18" x14ac:dyDescent="0.3">
      <c r="Q248" s="32">
        <f>IF(Dados!A249="","",Dados!A249)</f>
        <v>87</v>
      </c>
      <c r="R248" s="32">
        <f t="shared" si="3"/>
        <v>27.69296009798979</v>
      </c>
    </row>
    <row r="249" spans="17:18" x14ac:dyDescent="0.3">
      <c r="Q249" s="32">
        <f>IF(Dados!A250="","",Dados!A250)</f>
        <v>32.5</v>
      </c>
      <c r="R249" s="32">
        <f t="shared" si="3"/>
        <v>10.345071300973197</v>
      </c>
    </row>
    <row r="250" spans="17:18" x14ac:dyDescent="0.3">
      <c r="Q250" s="32">
        <f>IF(Dados!A251="","",Dados!A251)</f>
        <v>54.7</v>
      </c>
      <c r="R250" s="32">
        <f t="shared" si="3"/>
        <v>17.411550774253353</v>
      </c>
    </row>
    <row r="251" spans="17:18" x14ac:dyDescent="0.3">
      <c r="Q251" s="32">
        <f>IF(Dados!A252="","",Dados!A252)</f>
        <v>20.2</v>
      </c>
      <c r="R251" s="32">
        <f t="shared" si="3"/>
        <v>6.429859700912572</v>
      </c>
    </row>
    <row r="252" spans="17:18" x14ac:dyDescent="0.3">
      <c r="Q252" s="32">
        <f>IF(Dados!A253="","",Dados!A253)</f>
        <v>109</v>
      </c>
      <c r="R252" s="32">
        <f t="shared" si="3"/>
        <v>34.695777594033181</v>
      </c>
    </row>
    <row r="253" spans="17:18" x14ac:dyDescent="0.3">
      <c r="Q253" s="32">
        <f>IF(Dados!A254="","",Dados!A254)</f>
        <v>85.7</v>
      </c>
      <c r="R253" s="32">
        <f t="shared" si="3"/>
        <v>27.279157245950863</v>
      </c>
    </row>
    <row r="254" spans="17:18" x14ac:dyDescent="0.3">
      <c r="Q254" s="32">
        <f>IF(Dados!A255="","",Dados!A255)</f>
        <v>82.1</v>
      </c>
      <c r="R254" s="32">
        <f t="shared" si="3"/>
        <v>26.133241655689215</v>
      </c>
    </row>
    <row r="255" spans="17:18" x14ac:dyDescent="0.3">
      <c r="Q255" s="32">
        <f>IF(Dados!A256="","",Dados!A256)</f>
        <v>37.700000000000003</v>
      </c>
      <c r="R255" s="32">
        <f t="shared" si="3"/>
        <v>12.000282709128909</v>
      </c>
    </row>
    <row r="256" spans="17:18" x14ac:dyDescent="0.3">
      <c r="Q256" s="32">
        <f>IF(Dados!A257="","",Dados!A257)</f>
        <v>46</v>
      </c>
      <c r="R256" s="32">
        <f t="shared" si="3"/>
        <v>14.642254764454371</v>
      </c>
    </row>
    <row r="257" spans="17:18" x14ac:dyDescent="0.3">
      <c r="Q257" s="32">
        <f>IF(Dados!A258="","",Dados!A258)</f>
        <v>55</v>
      </c>
      <c r="R257" s="32">
        <f t="shared" si="3"/>
        <v>17.507043740108486</v>
      </c>
    </row>
    <row r="258" spans="17:18" x14ac:dyDescent="0.3">
      <c r="Q258" s="32">
        <f>IF(Dados!A259="","",Dados!A259)</f>
        <v>26.3</v>
      </c>
      <c r="R258" s="32">
        <f t="shared" si="3"/>
        <v>8.3715500066336954</v>
      </c>
    </row>
    <row r="259" spans="17:18" x14ac:dyDescent="0.3">
      <c r="Q259" s="32">
        <f>IF(Dados!A260="","",Dados!A260)</f>
        <v>19</v>
      </c>
      <c r="R259" s="32">
        <f t="shared" ref="R259:R322" si="4">Q259/PI()</f>
        <v>6.0478878374920226</v>
      </c>
    </row>
    <row r="260" spans="17:18" x14ac:dyDescent="0.3">
      <c r="Q260" s="32">
        <f>IF(Dados!A261="","",Dados!A261)</f>
        <v>82</v>
      </c>
      <c r="R260" s="32">
        <f t="shared" si="4"/>
        <v>26.101410667070837</v>
      </c>
    </row>
    <row r="261" spans="17:18" x14ac:dyDescent="0.3">
      <c r="Q261" s="32">
        <f>IF(Dados!A262="","",Dados!A262)</f>
        <v>22</v>
      </c>
      <c r="R261" s="32">
        <f t="shared" si="4"/>
        <v>7.0028174960433951</v>
      </c>
    </row>
    <row r="262" spans="17:18" x14ac:dyDescent="0.3">
      <c r="Q262" s="32">
        <f>IF(Dados!A263="","",Dados!A263)</f>
        <v>49.7</v>
      </c>
      <c r="R262" s="32">
        <f t="shared" si="4"/>
        <v>15.820001343334399</v>
      </c>
    </row>
    <row r="263" spans="17:18" x14ac:dyDescent="0.3">
      <c r="Q263" s="32">
        <f>IF(Dados!A264="","",Dados!A264)</f>
        <v>51.5</v>
      </c>
      <c r="R263" s="32">
        <f t="shared" si="4"/>
        <v>16.392959138465219</v>
      </c>
    </row>
    <row r="264" spans="17:18" x14ac:dyDescent="0.3">
      <c r="Q264" s="32">
        <f>IF(Dados!A265="","",Dados!A265)</f>
        <v>26</v>
      </c>
      <c r="R264" s="32">
        <f t="shared" si="4"/>
        <v>8.2760570407785572</v>
      </c>
    </row>
    <row r="265" spans="17:18" x14ac:dyDescent="0.3">
      <c r="Q265" s="32">
        <f>IF(Dados!A266="","",Dados!A266)</f>
        <v>26.5</v>
      </c>
      <c r="R265" s="32">
        <f t="shared" si="4"/>
        <v>8.4352119838704525</v>
      </c>
    </row>
    <row r="266" spans="17:18" x14ac:dyDescent="0.3">
      <c r="Q266" s="32">
        <f>IF(Dados!A267="","",Dados!A267)</f>
        <v>23.8</v>
      </c>
      <c r="R266" s="32">
        <f t="shared" si="4"/>
        <v>7.5757752911742182</v>
      </c>
    </row>
    <row r="267" spans="17:18" x14ac:dyDescent="0.3">
      <c r="Q267" s="32">
        <f>IF(Dados!A268="","",Dados!A268)</f>
        <v>25.8</v>
      </c>
      <c r="R267" s="32">
        <f t="shared" si="4"/>
        <v>8.2123950635418002</v>
      </c>
    </row>
    <row r="268" spans="17:18" x14ac:dyDescent="0.3">
      <c r="Q268" s="32">
        <f>IF(Dados!A269="","",Dados!A269)</f>
        <v>17.5</v>
      </c>
      <c r="R268" s="32">
        <f t="shared" si="4"/>
        <v>5.5704230082163368</v>
      </c>
    </row>
    <row r="269" spans="17:18" x14ac:dyDescent="0.3">
      <c r="Q269" s="32">
        <f>IF(Dados!A270="","",Dados!A270)</f>
        <v>21.9</v>
      </c>
      <c r="R269" s="32">
        <f t="shared" si="4"/>
        <v>6.9709865074250157</v>
      </c>
    </row>
    <row r="270" spans="17:18" x14ac:dyDescent="0.3">
      <c r="Q270" s="32">
        <f>IF(Dados!A271="","",Dados!A271)</f>
        <v>27.8</v>
      </c>
      <c r="R270" s="32">
        <f t="shared" si="4"/>
        <v>8.8490148359093812</v>
      </c>
    </row>
    <row r="271" spans="17:18" x14ac:dyDescent="0.3">
      <c r="Q271" s="32">
        <f>IF(Dados!A272="","",Dados!A272)</f>
        <v>28</v>
      </c>
      <c r="R271" s="32">
        <f t="shared" si="4"/>
        <v>8.91267681314614</v>
      </c>
    </row>
    <row r="272" spans="17:18" x14ac:dyDescent="0.3">
      <c r="Q272" s="32">
        <f>IF(Dados!A273="","",Dados!A273)</f>
        <v>62.6</v>
      </c>
      <c r="R272" s="32">
        <f t="shared" si="4"/>
        <v>19.926198875105296</v>
      </c>
    </row>
    <row r="273" spans="17:18" x14ac:dyDescent="0.3">
      <c r="Q273" s="32">
        <f>IF(Dados!A274="","",Dados!A274)</f>
        <v>41.8</v>
      </c>
      <c r="R273" s="32">
        <f t="shared" si="4"/>
        <v>13.30535324248245</v>
      </c>
    </row>
    <row r="274" spans="17:18" x14ac:dyDescent="0.3">
      <c r="Q274" s="32">
        <f>IF(Dados!A275="","",Dados!A275)</f>
        <v>30.1</v>
      </c>
      <c r="R274" s="32">
        <f t="shared" si="4"/>
        <v>9.5811275741321005</v>
      </c>
    </row>
    <row r="275" spans="17:18" x14ac:dyDescent="0.3">
      <c r="Q275" s="32">
        <f>IF(Dados!A276="","",Dados!A276)</f>
        <v>101</v>
      </c>
      <c r="R275" s="32">
        <f t="shared" si="4"/>
        <v>32.149298504562857</v>
      </c>
    </row>
    <row r="276" spans="17:18" x14ac:dyDescent="0.3">
      <c r="Q276" s="32">
        <f>IF(Dados!A277="","",Dados!A277)</f>
        <v>76</v>
      </c>
      <c r="R276" s="32">
        <f t="shared" si="4"/>
        <v>24.191551349968091</v>
      </c>
    </row>
    <row r="277" spans="17:18" x14ac:dyDescent="0.3">
      <c r="Q277" s="32">
        <f>IF(Dados!A278="","",Dados!A278)</f>
        <v>50.8</v>
      </c>
      <c r="R277" s="32">
        <f t="shared" si="4"/>
        <v>16.170142218136565</v>
      </c>
    </row>
    <row r="278" spans="17:18" x14ac:dyDescent="0.3">
      <c r="Q278" s="32">
        <f>IF(Dados!A279="","",Dados!A279)</f>
        <v>32</v>
      </c>
      <c r="R278" s="32">
        <f t="shared" si="4"/>
        <v>10.185916357881302</v>
      </c>
    </row>
    <row r="279" spans="17:18" x14ac:dyDescent="0.3">
      <c r="Q279" s="32">
        <f>IF(Dados!A280="","",Dados!A280)</f>
        <v>23.2</v>
      </c>
      <c r="R279" s="32">
        <f t="shared" si="4"/>
        <v>7.3847893594639435</v>
      </c>
    </row>
    <row r="280" spans="17:18" x14ac:dyDescent="0.3">
      <c r="Q280" s="32">
        <f>IF(Dados!A281="","",Dados!A281)</f>
        <v>33</v>
      </c>
      <c r="R280" s="32">
        <f t="shared" si="4"/>
        <v>10.504226244065093</v>
      </c>
    </row>
    <row r="281" spans="17:18" x14ac:dyDescent="0.3">
      <c r="Q281" s="32">
        <f>IF(Dados!A282="","",Dados!A282)</f>
        <v>19.399999999999999</v>
      </c>
      <c r="R281" s="32">
        <f t="shared" si="4"/>
        <v>6.1752117919655385</v>
      </c>
    </row>
    <row r="282" spans="17:18" x14ac:dyDescent="0.3">
      <c r="Q282" s="32">
        <f>IF(Dados!A283="","",Dados!A283)</f>
        <v>95.1</v>
      </c>
      <c r="R282" s="32">
        <f t="shared" si="4"/>
        <v>30.271270176078492</v>
      </c>
    </row>
    <row r="283" spans="17:18" x14ac:dyDescent="0.3">
      <c r="Q283" s="32">
        <f>IF(Dados!A284="","",Dados!A284)</f>
        <v>80.2</v>
      </c>
      <c r="R283" s="32">
        <f t="shared" si="4"/>
        <v>25.528452871940015</v>
      </c>
    </row>
    <row r="284" spans="17:18" x14ac:dyDescent="0.3">
      <c r="Q284" s="32">
        <f>IF(Dados!A285="","",Dados!A285)</f>
        <v>94.3</v>
      </c>
      <c r="R284" s="32">
        <f t="shared" si="4"/>
        <v>30.01662226713146</v>
      </c>
    </row>
    <row r="285" spans="17:18" x14ac:dyDescent="0.3">
      <c r="Q285" s="32">
        <f>IF(Dados!A286="","",Dados!A286)</f>
        <v>115</v>
      </c>
      <c r="R285" s="32">
        <f t="shared" si="4"/>
        <v>36.605636911135932</v>
      </c>
    </row>
    <row r="286" spans="17:18" x14ac:dyDescent="0.3">
      <c r="Q286" s="32">
        <f>IF(Dados!A287="","",Dados!A287)</f>
        <v>64.900000000000006</v>
      </c>
      <c r="R286" s="32">
        <f t="shared" si="4"/>
        <v>20.658311613328017</v>
      </c>
    </row>
    <row r="287" spans="17:18" x14ac:dyDescent="0.3">
      <c r="Q287" s="32">
        <f>IF(Dados!A288="","",Dados!A288)</f>
        <v>27.5</v>
      </c>
      <c r="R287" s="32">
        <f t="shared" si="4"/>
        <v>8.753521870054243</v>
      </c>
    </row>
    <row r="288" spans="17:18" x14ac:dyDescent="0.3">
      <c r="Q288" s="32">
        <f>IF(Dados!A289="","",Dados!A289)</f>
        <v>15.7</v>
      </c>
      <c r="R288" s="32">
        <f t="shared" si="4"/>
        <v>4.9974652130855137</v>
      </c>
    </row>
    <row r="289" spans="17:18" x14ac:dyDescent="0.3">
      <c r="Q289" s="32">
        <f>IF(Dados!A290="","",Dados!A290)</f>
        <v>21</v>
      </c>
      <c r="R289" s="32">
        <f t="shared" si="4"/>
        <v>6.6845076098596046</v>
      </c>
    </row>
    <row r="290" spans="17:18" x14ac:dyDescent="0.3">
      <c r="Q290" s="32">
        <f>IF(Dados!A291="","",Dados!A291)</f>
        <v>31.6</v>
      </c>
      <c r="R290" s="32">
        <f t="shared" si="4"/>
        <v>10.058592403407786</v>
      </c>
    </row>
    <row r="291" spans="17:18" x14ac:dyDescent="0.3">
      <c r="Q291" s="32">
        <f>IF(Dados!A292="","",Dados!A292)</f>
        <v>21</v>
      </c>
      <c r="R291" s="32">
        <f t="shared" si="4"/>
        <v>6.6845076098596046</v>
      </c>
    </row>
    <row r="292" spans="17:18" x14ac:dyDescent="0.3">
      <c r="Q292" s="32">
        <f>IF(Dados!A293="","",Dados!A293)</f>
        <v>23.2</v>
      </c>
      <c r="R292" s="32">
        <f t="shared" si="4"/>
        <v>7.3847893594639435</v>
      </c>
    </row>
    <row r="293" spans="17:18" x14ac:dyDescent="0.3">
      <c r="Q293" s="32">
        <f>IF(Dados!A294="","",Dados!A294)</f>
        <v>25.6</v>
      </c>
      <c r="R293" s="32">
        <f t="shared" si="4"/>
        <v>8.1487330863050413</v>
      </c>
    </row>
    <row r="294" spans="17:18" x14ac:dyDescent="0.3">
      <c r="Q294" s="32">
        <f>IF(Dados!A295="","",Dados!A295)</f>
        <v>73.5</v>
      </c>
      <c r="R294" s="32">
        <f t="shared" si="4"/>
        <v>23.395776634508614</v>
      </c>
    </row>
    <row r="295" spans="17:18" x14ac:dyDescent="0.3">
      <c r="Q295" s="32">
        <f>IF(Dados!A296="","",Dados!A296)</f>
        <v>99.2</v>
      </c>
      <c r="R295" s="32">
        <f t="shared" si="4"/>
        <v>31.576340709432039</v>
      </c>
    </row>
    <row r="296" spans="17:18" x14ac:dyDescent="0.3">
      <c r="Q296" s="32">
        <f>IF(Dados!A297="","",Dados!A297)</f>
        <v>47.8</v>
      </c>
      <c r="R296" s="32">
        <f t="shared" si="4"/>
        <v>15.215212559585193</v>
      </c>
    </row>
    <row r="297" spans="17:18" x14ac:dyDescent="0.3">
      <c r="Q297" s="32">
        <f>IF(Dados!A298="","",Dados!A298)</f>
        <v>98.6</v>
      </c>
      <c r="R297" s="32">
        <f t="shared" si="4"/>
        <v>31.385354777721759</v>
      </c>
    </row>
    <row r="298" spans="17:18" x14ac:dyDescent="0.3">
      <c r="Q298" s="32">
        <f>IF(Dados!A299="","",Dados!A299)</f>
        <v>20.7</v>
      </c>
      <c r="R298" s="32">
        <f t="shared" si="4"/>
        <v>6.5890146440044672</v>
      </c>
    </row>
    <row r="299" spans="17:18" x14ac:dyDescent="0.3">
      <c r="Q299" s="32">
        <f>IF(Dados!A300="","",Dados!A300)</f>
        <v>42.8</v>
      </c>
      <c r="R299" s="32">
        <f t="shared" si="4"/>
        <v>13.623663128666241</v>
      </c>
    </row>
    <row r="300" spans="17:18" x14ac:dyDescent="0.3">
      <c r="Q300" s="32">
        <f>IF(Dados!A301="","",Dados!A301)</f>
        <v>21.8</v>
      </c>
      <c r="R300" s="32">
        <f t="shared" si="4"/>
        <v>6.9391555188066372</v>
      </c>
    </row>
    <row r="301" spans="17:18" x14ac:dyDescent="0.3">
      <c r="Q301" s="32">
        <f>IF(Dados!A302="","",Dados!A302)</f>
        <v>84</v>
      </c>
      <c r="R301" s="32">
        <f t="shared" si="4"/>
        <v>26.738030439438418</v>
      </c>
    </row>
    <row r="302" spans="17:18" x14ac:dyDescent="0.3">
      <c r="Q302" s="32">
        <f>IF(Dados!A303="","",Dados!A303)</f>
        <v>41.7</v>
      </c>
      <c r="R302" s="32">
        <f t="shared" si="4"/>
        <v>13.273522253864073</v>
      </c>
    </row>
    <row r="303" spans="17:18" x14ac:dyDescent="0.3">
      <c r="Q303" s="32">
        <f>IF(Dados!A304="","",Dados!A304)</f>
        <v>26</v>
      </c>
      <c r="R303" s="32">
        <f t="shared" si="4"/>
        <v>8.2760570407785572</v>
      </c>
    </row>
    <row r="304" spans="17:18" x14ac:dyDescent="0.3">
      <c r="Q304" s="32">
        <f>IF(Dados!A305="","",Dados!A305)</f>
        <v>46.9</v>
      </c>
      <c r="R304" s="32">
        <f t="shared" si="4"/>
        <v>14.928733662019782</v>
      </c>
    </row>
    <row r="305" spans="17:18" x14ac:dyDescent="0.3">
      <c r="Q305" s="32">
        <f>IF(Dados!A306="","",Dados!A306)</f>
        <v>57.2</v>
      </c>
      <c r="R305" s="32">
        <f t="shared" si="4"/>
        <v>18.207325489712829</v>
      </c>
    </row>
    <row r="306" spans="17:18" x14ac:dyDescent="0.3">
      <c r="Q306" s="32">
        <f>IF(Dados!A307="","",Dados!A307)</f>
        <v>69.3</v>
      </c>
      <c r="R306" s="32">
        <f t="shared" si="4"/>
        <v>22.058875112536693</v>
      </c>
    </row>
    <row r="307" spans="17:18" x14ac:dyDescent="0.3">
      <c r="Q307" s="32">
        <f>IF(Dados!A308="","",Dados!A308)</f>
        <v>101.5</v>
      </c>
      <c r="R307" s="32">
        <f t="shared" si="4"/>
        <v>32.308453447654756</v>
      </c>
    </row>
    <row r="308" spans="17:18" x14ac:dyDescent="0.3">
      <c r="Q308" s="32">
        <f>IF(Dados!A309="","",Dados!A309)</f>
        <v>100</v>
      </c>
      <c r="R308" s="32">
        <f t="shared" si="4"/>
        <v>31.830988618379067</v>
      </c>
    </row>
    <row r="309" spans="17:18" x14ac:dyDescent="0.3">
      <c r="Q309" s="32">
        <f>IF(Dados!A310="","",Dados!A310)</f>
        <v>17.5</v>
      </c>
      <c r="R309" s="32">
        <f t="shared" si="4"/>
        <v>5.5704230082163368</v>
      </c>
    </row>
    <row r="310" spans="17:18" x14ac:dyDescent="0.3">
      <c r="Q310" s="32">
        <f>IF(Dados!A311="","",Dados!A311)</f>
        <v>21</v>
      </c>
      <c r="R310" s="32">
        <f t="shared" si="4"/>
        <v>6.6845076098596046</v>
      </c>
    </row>
    <row r="311" spans="17:18" x14ac:dyDescent="0.3">
      <c r="Q311" s="32">
        <f>IF(Dados!A312="","",Dados!A312)</f>
        <v>19.3</v>
      </c>
      <c r="R311" s="32">
        <f t="shared" si="4"/>
        <v>6.1433808033471609</v>
      </c>
    </row>
    <row r="312" spans="17:18" x14ac:dyDescent="0.3">
      <c r="Q312" s="32">
        <f>IF(Dados!A313="","",Dados!A313)</f>
        <v>27.2</v>
      </c>
      <c r="R312" s="32">
        <f t="shared" si="4"/>
        <v>8.6580289041991065</v>
      </c>
    </row>
    <row r="313" spans="17:18" x14ac:dyDescent="0.3">
      <c r="Q313" s="32">
        <f>IF(Dados!A314="","",Dados!A314)</f>
        <v>16</v>
      </c>
      <c r="R313" s="32">
        <f t="shared" si="4"/>
        <v>5.0929581789406511</v>
      </c>
    </row>
    <row r="314" spans="17:18" x14ac:dyDescent="0.3">
      <c r="Q314" s="32">
        <f>IF(Dados!A315="","",Dados!A315)</f>
        <v>17.8</v>
      </c>
      <c r="R314" s="32">
        <f t="shared" si="4"/>
        <v>5.6659159740714742</v>
      </c>
    </row>
    <row r="315" spans="17:18" x14ac:dyDescent="0.3">
      <c r="Q315" s="32">
        <f>IF(Dados!A316="","",Dados!A316)</f>
        <v>66</v>
      </c>
      <c r="R315" s="32">
        <f t="shared" si="4"/>
        <v>21.008452488130185</v>
      </c>
    </row>
    <row r="316" spans="17:18" x14ac:dyDescent="0.3">
      <c r="Q316" s="32">
        <f>IF(Dados!A317="","",Dados!A317)</f>
        <v>76.400000000000006</v>
      </c>
      <c r="R316" s="32">
        <f t="shared" si="4"/>
        <v>24.318875304441612</v>
      </c>
    </row>
    <row r="317" spans="17:18" x14ac:dyDescent="0.3">
      <c r="Q317" s="32">
        <f>IF(Dados!A318="","",Dados!A318)</f>
        <v>58</v>
      </c>
      <c r="R317" s="32">
        <f t="shared" si="4"/>
        <v>18.461973398659861</v>
      </c>
    </row>
    <row r="318" spans="17:18" x14ac:dyDescent="0.3">
      <c r="Q318" s="32">
        <f>IF(Dados!A319="","",Dados!A319)</f>
        <v>62.2</v>
      </c>
      <c r="R318" s="32">
        <f t="shared" si="4"/>
        <v>19.798874920631782</v>
      </c>
    </row>
    <row r="319" spans="17:18" x14ac:dyDescent="0.3">
      <c r="Q319" s="32">
        <f>IF(Dados!A320="","",Dados!A320)</f>
        <v>118.8</v>
      </c>
      <c r="R319" s="32">
        <f t="shared" si="4"/>
        <v>37.815214478634331</v>
      </c>
    </row>
    <row r="320" spans="17:18" x14ac:dyDescent="0.3">
      <c r="Q320" s="32">
        <f>IF(Dados!A321="","",Dados!A321)</f>
        <v>71</v>
      </c>
      <c r="R320" s="32">
        <f t="shared" si="4"/>
        <v>22.600001919049138</v>
      </c>
    </row>
    <row r="321" spans="17:18" x14ac:dyDescent="0.3">
      <c r="Q321" s="32">
        <f>IF(Dados!A322="","",Dados!A322)</f>
        <v>55.3</v>
      </c>
      <c r="R321" s="32">
        <f t="shared" si="4"/>
        <v>17.602536705963622</v>
      </c>
    </row>
    <row r="322" spans="17:18" x14ac:dyDescent="0.3">
      <c r="Q322" s="32">
        <f>IF(Dados!A323="","",Dados!A323)</f>
        <v>84.5</v>
      </c>
      <c r="R322" s="32">
        <f t="shared" si="4"/>
        <v>26.897185382530314</v>
      </c>
    </row>
    <row r="323" spans="17:18" x14ac:dyDescent="0.3">
      <c r="Q323" s="32">
        <f>IF(Dados!A324="","",Dados!A324)</f>
        <v>186</v>
      </c>
      <c r="R323" s="32">
        <f t="shared" ref="R323:R386" si="5">Q323/PI()</f>
        <v>59.205638830185066</v>
      </c>
    </row>
    <row r="324" spans="17:18" x14ac:dyDescent="0.3">
      <c r="Q324" s="32">
        <f>IF(Dados!A325="","",Dados!A325)</f>
        <v>43</v>
      </c>
      <c r="R324" s="32">
        <f t="shared" si="5"/>
        <v>13.687325105903</v>
      </c>
    </row>
    <row r="325" spans="17:18" x14ac:dyDescent="0.3">
      <c r="Q325" s="32">
        <f>IF(Dados!A326="","",Dados!A326)</f>
        <v>20.3</v>
      </c>
      <c r="R325" s="32">
        <f t="shared" si="5"/>
        <v>6.4616906895309514</v>
      </c>
    </row>
    <row r="326" spans="17:18" x14ac:dyDescent="0.3">
      <c r="Q326" s="32">
        <f>IF(Dados!A327="","",Dados!A327)</f>
        <v>54</v>
      </c>
      <c r="R326" s="32">
        <f t="shared" si="5"/>
        <v>17.188733853924695</v>
      </c>
    </row>
    <row r="327" spans="17:18" x14ac:dyDescent="0.3">
      <c r="Q327" s="32">
        <f>IF(Dados!A328="","",Dados!A328)</f>
        <v>63</v>
      </c>
      <c r="R327" s="32">
        <f t="shared" si="5"/>
        <v>20.053522829578814</v>
      </c>
    </row>
    <row r="328" spans="17:18" x14ac:dyDescent="0.3">
      <c r="Q328" s="32">
        <f>IF(Dados!A329="","",Dados!A329)</f>
        <v>21.2</v>
      </c>
      <c r="R328" s="32">
        <f t="shared" si="5"/>
        <v>6.7481695870963625</v>
      </c>
    </row>
    <row r="329" spans="17:18" x14ac:dyDescent="0.3">
      <c r="Q329" s="32">
        <f>IF(Dados!A330="","",Dados!A330)</f>
        <v>30.2</v>
      </c>
      <c r="R329" s="32">
        <f t="shared" si="5"/>
        <v>9.6129585627504781</v>
      </c>
    </row>
    <row r="330" spans="17:18" x14ac:dyDescent="0.3">
      <c r="Q330" s="32">
        <f>IF(Dados!A331="","",Dados!A331)</f>
        <v>52.2</v>
      </c>
      <c r="R330" s="32">
        <f t="shared" si="5"/>
        <v>16.615776058793873</v>
      </c>
    </row>
    <row r="331" spans="17:18" x14ac:dyDescent="0.3">
      <c r="Q331" s="32">
        <f>IF(Dados!A332="","",Dados!A332)</f>
        <v>31.5</v>
      </c>
      <c r="R331" s="32">
        <f t="shared" si="5"/>
        <v>10.026761414789407</v>
      </c>
    </row>
    <row r="332" spans="17:18" x14ac:dyDescent="0.3">
      <c r="Q332" s="32">
        <f>IF(Dados!A333="","",Dados!A333)</f>
        <v>16.2</v>
      </c>
      <c r="R332" s="32">
        <f t="shared" si="5"/>
        <v>5.156620156177409</v>
      </c>
    </row>
    <row r="333" spans="17:18" x14ac:dyDescent="0.3">
      <c r="Q333" s="32">
        <f>IF(Dados!A334="","",Dados!A334)</f>
        <v>17</v>
      </c>
      <c r="R333" s="32">
        <f t="shared" si="5"/>
        <v>5.4112680651244416</v>
      </c>
    </row>
    <row r="334" spans="17:18" x14ac:dyDescent="0.3">
      <c r="Q334" s="32">
        <f>IF(Dados!A335="","",Dados!A335)</f>
        <v>34</v>
      </c>
      <c r="R334" s="32">
        <f t="shared" si="5"/>
        <v>10.822536130248883</v>
      </c>
    </row>
    <row r="335" spans="17:18" x14ac:dyDescent="0.3">
      <c r="Q335" s="32">
        <f>IF(Dados!A336="","",Dados!A336)</f>
        <v>42.5</v>
      </c>
      <c r="R335" s="32">
        <f t="shared" si="5"/>
        <v>13.528170162811104</v>
      </c>
    </row>
    <row r="336" spans="17:18" x14ac:dyDescent="0.3">
      <c r="Q336" s="32">
        <f>IF(Dados!A337="","",Dados!A337)</f>
        <v>66.3</v>
      </c>
      <c r="R336" s="32">
        <f t="shared" si="5"/>
        <v>21.103945453985322</v>
      </c>
    </row>
    <row r="337" spans="17:18" x14ac:dyDescent="0.3">
      <c r="Q337" s="32">
        <f>IF(Dados!A338="","",Dados!A338)</f>
        <v>86.8</v>
      </c>
      <c r="R337" s="32">
        <f t="shared" si="5"/>
        <v>27.629298120753031</v>
      </c>
    </row>
    <row r="338" spans="17:18" x14ac:dyDescent="0.3">
      <c r="Q338" s="32">
        <f>IF(Dados!A339="","",Dados!A339)</f>
        <v>86.3</v>
      </c>
      <c r="R338" s="32">
        <f t="shared" si="5"/>
        <v>27.470143177661136</v>
      </c>
    </row>
    <row r="339" spans="17:18" x14ac:dyDescent="0.3">
      <c r="Q339" s="32">
        <f>IF(Dados!A340="","",Dados!A340)</f>
        <v>85</v>
      </c>
      <c r="R339" s="32">
        <f t="shared" si="5"/>
        <v>27.056340325622209</v>
      </c>
    </row>
    <row r="340" spans="17:18" x14ac:dyDescent="0.3">
      <c r="Q340" s="32">
        <f>IF(Dados!A341="","",Dados!A341)</f>
        <v>37.6</v>
      </c>
      <c r="R340" s="32">
        <f t="shared" si="5"/>
        <v>11.968451720510529</v>
      </c>
    </row>
    <row r="341" spans="17:18" x14ac:dyDescent="0.3">
      <c r="Q341" s="32">
        <f>IF(Dados!A342="","",Dados!A342)</f>
        <v>42</v>
      </c>
      <c r="R341" s="32">
        <f t="shared" si="5"/>
        <v>13.369015219719209</v>
      </c>
    </row>
    <row r="342" spans="17:18" x14ac:dyDescent="0.3">
      <c r="Q342" s="32">
        <f>IF(Dados!A343="","",Dados!A343)</f>
        <v>108.5</v>
      </c>
      <c r="R342" s="32">
        <f t="shared" si="5"/>
        <v>34.53662265094129</v>
      </c>
    </row>
    <row r="343" spans="17:18" x14ac:dyDescent="0.3">
      <c r="Q343" s="32">
        <f>IF(Dados!A344="","",Dados!A344)</f>
        <v>113.3</v>
      </c>
      <c r="R343" s="32">
        <f t="shared" si="5"/>
        <v>36.064510104623487</v>
      </c>
    </row>
    <row r="344" spans="17:18" x14ac:dyDescent="0.3">
      <c r="Q344" s="32">
        <f>IF(Dados!A345="","",Dados!A345)</f>
        <v>52.6</v>
      </c>
      <c r="R344" s="32">
        <f t="shared" si="5"/>
        <v>16.743100013267391</v>
      </c>
    </row>
    <row r="345" spans="17:18" x14ac:dyDescent="0.3">
      <c r="Q345" s="32">
        <f>IF(Dados!A346="","",Dados!A346)</f>
        <v>50.5</v>
      </c>
      <c r="R345" s="32">
        <f t="shared" si="5"/>
        <v>16.074649252281429</v>
      </c>
    </row>
    <row r="346" spans="17:18" x14ac:dyDescent="0.3">
      <c r="Q346" s="32">
        <f>IF(Dados!A347="","",Dados!A347)</f>
        <v>104.3</v>
      </c>
      <c r="R346" s="32">
        <f t="shared" si="5"/>
        <v>33.199721128969365</v>
      </c>
    </row>
    <row r="347" spans="17:18" x14ac:dyDescent="0.3">
      <c r="Q347" s="32">
        <f>IF(Dados!A348="","",Dados!A348)</f>
        <v>80.5</v>
      </c>
      <c r="R347" s="32">
        <f t="shared" si="5"/>
        <v>25.623945837795151</v>
      </c>
    </row>
    <row r="348" spans="17:18" x14ac:dyDescent="0.3">
      <c r="Q348" s="32">
        <f>IF(Dados!A349="","",Dados!A349)</f>
        <v>99.6</v>
      </c>
      <c r="R348" s="32">
        <f t="shared" si="5"/>
        <v>31.703664663905549</v>
      </c>
    </row>
    <row r="349" spans="17:18" x14ac:dyDescent="0.3">
      <c r="Q349" s="32">
        <f>IF(Dados!A350="","",Dados!A350)</f>
        <v>73.5</v>
      </c>
      <c r="R349" s="32">
        <f t="shared" si="5"/>
        <v>23.395776634508614</v>
      </c>
    </row>
    <row r="350" spans="17:18" x14ac:dyDescent="0.3">
      <c r="Q350" s="32">
        <f>IF(Dados!A351="","",Dados!A351)</f>
        <v>91</v>
      </c>
      <c r="R350" s="32">
        <f t="shared" si="5"/>
        <v>28.966199642724952</v>
      </c>
    </row>
    <row r="351" spans="17:18" x14ac:dyDescent="0.3">
      <c r="Q351" s="32">
        <f>IF(Dados!A352="","",Dados!A352)</f>
        <v>171</v>
      </c>
      <c r="R351" s="32">
        <f t="shared" si="5"/>
        <v>54.430990537428208</v>
      </c>
    </row>
    <row r="352" spans="17:18" x14ac:dyDescent="0.3">
      <c r="Q352" s="32">
        <f>IF(Dados!A353="","",Dados!A353)</f>
        <v>38</v>
      </c>
      <c r="R352" s="32">
        <f t="shared" si="5"/>
        <v>12.095775674984045</v>
      </c>
    </row>
    <row r="353" spans="17:18" x14ac:dyDescent="0.3">
      <c r="Q353" s="32">
        <f>IF(Dados!A354="","",Dados!A354)</f>
        <v>62.5</v>
      </c>
      <c r="R353" s="32">
        <f t="shared" si="5"/>
        <v>19.894367886486918</v>
      </c>
    </row>
    <row r="354" spans="17:18" x14ac:dyDescent="0.3">
      <c r="Q354" s="32">
        <f>IF(Dados!A355="","",Dados!A355)</f>
        <v>44.2</v>
      </c>
      <c r="R354" s="32">
        <f t="shared" si="5"/>
        <v>14.069296969323549</v>
      </c>
    </row>
    <row r="355" spans="17:18" x14ac:dyDescent="0.3">
      <c r="Q355" s="32">
        <f>IF(Dados!A356="","",Dados!A356)</f>
        <v>22</v>
      </c>
      <c r="R355" s="32">
        <f t="shared" si="5"/>
        <v>7.0028174960433951</v>
      </c>
    </row>
    <row r="356" spans="17:18" x14ac:dyDescent="0.3">
      <c r="Q356" s="32">
        <f>IF(Dados!A357="","",Dados!A357)</f>
        <v>31</v>
      </c>
      <c r="R356" s="32">
        <f t="shared" si="5"/>
        <v>9.8676064716975116</v>
      </c>
    </row>
    <row r="357" spans="17:18" x14ac:dyDescent="0.3">
      <c r="Q357" s="32">
        <f>IF(Dados!A358="","",Dados!A358)</f>
        <v>28.5</v>
      </c>
      <c r="R357" s="32">
        <f t="shared" si="5"/>
        <v>9.0718317562380353</v>
      </c>
    </row>
    <row r="358" spans="17:18" x14ac:dyDescent="0.3">
      <c r="Q358" s="32">
        <f>IF(Dados!A359="","",Dados!A359)</f>
        <v>22</v>
      </c>
      <c r="R358" s="32">
        <f t="shared" si="5"/>
        <v>7.0028174960433951</v>
      </c>
    </row>
    <row r="359" spans="17:18" x14ac:dyDescent="0.3">
      <c r="Q359" s="32">
        <f>IF(Dados!A360="","",Dados!A360)</f>
        <v>14.4</v>
      </c>
      <c r="R359" s="32">
        <f t="shared" si="5"/>
        <v>4.5836623610465859</v>
      </c>
    </row>
    <row r="360" spans="17:18" x14ac:dyDescent="0.3">
      <c r="Q360" s="32">
        <f>IF(Dados!A361="","",Dados!A361)</f>
        <v>34</v>
      </c>
      <c r="R360" s="32">
        <f t="shared" si="5"/>
        <v>10.822536130248883</v>
      </c>
    </row>
    <row r="361" spans="17:18" x14ac:dyDescent="0.3">
      <c r="Q361" s="32">
        <f>IF(Dados!A362="","",Dados!A362)</f>
        <v>37.799999999999997</v>
      </c>
      <c r="R361" s="32">
        <f t="shared" si="5"/>
        <v>12.032113697747286</v>
      </c>
    </row>
    <row r="362" spans="17:18" x14ac:dyDescent="0.3">
      <c r="Q362" s="32">
        <f>IF(Dados!A363="","",Dados!A363)</f>
        <v>23.6</v>
      </c>
      <c r="R362" s="32">
        <f t="shared" si="5"/>
        <v>7.5121133139374603</v>
      </c>
    </row>
    <row r="363" spans="17:18" x14ac:dyDescent="0.3">
      <c r="Q363" s="32">
        <f>IF(Dados!A364="","",Dados!A364)</f>
        <v>18</v>
      </c>
      <c r="R363" s="32">
        <f t="shared" si="5"/>
        <v>5.7295779513082321</v>
      </c>
    </row>
    <row r="364" spans="17:18" x14ac:dyDescent="0.3">
      <c r="Q364" s="32">
        <f>IF(Dados!A365="","",Dados!A365)</f>
        <v>17</v>
      </c>
      <c r="R364" s="32">
        <f t="shared" si="5"/>
        <v>5.4112680651244416</v>
      </c>
    </row>
    <row r="365" spans="17:18" x14ac:dyDescent="0.3">
      <c r="Q365" s="32">
        <f>IF(Dados!A366="","",Dados!A366)</f>
        <v>18.3</v>
      </c>
      <c r="R365" s="32">
        <f t="shared" si="5"/>
        <v>5.8250709171633694</v>
      </c>
    </row>
    <row r="366" spans="17:18" x14ac:dyDescent="0.3">
      <c r="Q366" s="32">
        <f>IF(Dados!A367="","",Dados!A367)</f>
        <v>37</v>
      </c>
      <c r="R366" s="32">
        <f t="shared" si="5"/>
        <v>11.777465788800255</v>
      </c>
    </row>
    <row r="367" spans="17:18" x14ac:dyDescent="0.3">
      <c r="Q367" s="32">
        <f>IF(Dados!A368="","",Dados!A368)</f>
        <v>82.3</v>
      </c>
      <c r="R367" s="32">
        <f t="shared" si="5"/>
        <v>26.196903632925974</v>
      </c>
    </row>
    <row r="368" spans="17:18" x14ac:dyDescent="0.3">
      <c r="Q368" s="32">
        <f>IF(Dados!A369="","",Dados!A369)</f>
        <v>80.3</v>
      </c>
      <c r="R368" s="32">
        <f t="shared" si="5"/>
        <v>25.560283860558393</v>
      </c>
    </row>
    <row r="369" spans="17:18" x14ac:dyDescent="0.3">
      <c r="Q369" s="32">
        <f>IF(Dados!A370="","",Dados!A370)</f>
        <v>48</v>
      </c>
      <c r="R369" s="32">
        <f t="shared" si="5"/>
        <v>15.278874536821952</v>
      </c>
    </row>
    <row r="370" spans="17:18" x14ac:dyDescent="0.3">
      <c r="Q370" s="32">
        <f>IF(Dados!A371="","",Dados!A371)</f>
        <v>79.400000000000006</v>
      </c>
      <c r="R370" s="32">
        <f t="shared" si="5"/>
        <v>25.273804962992983</v>
      </c>
    </row>
    <row r="371" spans="17:18" x14ac:dyDescent="0.3">
      <c r="Q371" s="32">
        <f>IF(Dados!A372="","",Dados!A372)</f>
        <v>63.5</v>
      </c>
      <c r="R371" s="32">
        <f t="shared" si="5"/>
        <v>20.212677772670709</v>
      </c>
    </row>
    <row r="372" spans="17:18" x14ac:dyDescent="0.3">
      <c r="Q372" s="32">
        <f>IF(Dados!A373="","",Dados!A373)</f>
        <v>65.599999999999994</v>
      </c>
      <c r="R372" s="32">
        <f t="shared" si="5"/>
        <v>20.881128533656668</v>
      </c>
    </row>
    <row r="373" spans="17:18" x14ac:dyDescent="0.3">
      <c r="Q373" s="32">
        <f>IF(Dados!A374="","",Dados!A374)</f>
        <v>75.599999999999994</v>
      </c>
      <c r="R373" s="32">
        <f t="shared" si="5"/>
        <v>24.064227395494573</v>
      </c>
    </row>
    <row r="374" spans="17:18" x14ac:dyDescent="0.3">
      <c r="Q374" s="32">
        <f>IF(Dados!A375="","",Dados!A375)</f>
        <v>56.7</v>
      </c>
      <c r="R374" s="32">
        <f t="shared" si="5"/>
        <v>18.048170546620934</v>
      </c>
    </row>
    <row r="375" spans="17:18" x14ac:dyDescent="0.3">
      <c r="Q375" s="32">
        <f>IF(Dados!A376="","",Dados!A376)</f>
        <v>69.5</v>
      </c>
      <c r="R375" s="32">
        <f t="shared" si="5"/>
        <v>22.122537089773452</v>
      </c>
    </row>
    <row r="376" spans="17:18" x14ac:dyDescent="0.3">
      <c r="Q376" s="32">
        <f>IF(Dados!A377="","",Dados!A377)</f>
        <v>26</v>
      </c>
      <c r="R376" s="32">
        <f t="shared" si="5"/>
        <v>8.2760570407785572</v>
      </c>
    </row>
    <row r="377" spans="17:18" x14ac:dyDescent="0.3">
      <c r="Q377" s="32">
        <f>IF(Dados!A378="","",Dados!A378)</f>
        <v>56</v>
      </c>
      <c r="R377" s="32">
        <f t="shared" si="5"/>
        <v>17.82535362629228</v>
      </c>
    </row>
    <row r="378" spans="17:18" x14ac:dyDescent="0.3">
      <c r="Q378" s="32">
        <f>IF(Dados!A379="","",Dados!A379)</f>
        <v>37.4</v>
      </c>
      <c r="R378" s="32">
        <f t="shared" si="5"/>
        <v>11.904789743273771</v>
      </c>
    </row>
    <row r="379" spans="17:18" x14ac:dyDescent="0.3">
      <c r="Q379" s="32">
        <f>IF(Dados!A380="","",Dados!A380)</f>
        <v>58.8</v>
      </c>
      <c r="R379" s="32">
        <f t="shared" si="5"/>
        <v>18.716621307606893</v>
      </c>
    </row>
    <row r="380" spans="17:18" x14ac:dyDescent="0.3">
      <c r="Q380" s="32">
        <f>IF(Dados!A381="","",Dados!A381)</f>
        <v>19</v>
      </c>
      <c r="R380" s="32">
        <f t="shared" si="5"/>
        <v>6.0478878374920226</v>
      </c>
    </row>
    <row r="381" spans="17:18" x14ac:dyDescent="0.3">
      <c r="Q381" s="32">
        <f>IF(Dados!A382="","",Dados!A382)</f>
        <v>85.5</v>
      </c>
      <c r="R381" s="32">
        <f t="shared" si="5"/>
        <v>27.215495268714104</v>
      </c>
    </row>
    <row r="382" spans="17:18" x14ac:dyDescent="0.3">
      <c r="Q382" s="32">
        <f>IF(Dados!A383="","",Dados!A383)</f>
        <v>30.8</v>
      </c>
      <c r="R382" s="32">
        <f t="shared" si="5"/>
        <v>9.8039444944607528</v>
      </c>
    </row>
    <row r="383" spans="17:18" x14ac:dyDescent="0.3">
      <c r="Q383" s="32">
        <f>IF(Dados!A384="","",Dados!A384)</f>
        <v>70</v>
      </c>
      <c r="R383" s="32">
        <f t="shared" si="5"/>
        <v>22.281692032865347</v>
      </c>
    </row>
    <row r="384" spans="17:18" x14ac:dyDescent="0.3">
      <c r="Q384" s="32">
        <f>IF(Dados!A385="","",Dados!A385)</f>
        <v>121.5</v>
      </c>
      <c r="R384" s="32">
        <f t="shared" si="5"/>
        <v>38.674651171330567</v>
      </c>
    </row>
    <row r="385" spans="17:18" x14ac:dyDescent="0.3">
      <c r="Q385" s="32">
        <f>IF(Dados!A386="","",Dados!A386)</f>
        <v>76.5</v>
      </c>
      <c r="R385" s="32">
        <f t="shared" si="5"/>
        <v>24.350706293059986</v>
      </c>
    </row>
    <row r="386" spans="17:18" x14ac:dyDescent="0.3">
      <c r="Q386" s="32">
        <f>IF(Dados!A387="","",Dados!A387)</f>
        <v>167.8</v>
      </c>
      <c r="R386" s="32">
        <f t="shared" si="5"/>
        <v>53.412398901640081</v>
      </c>
    </row>
    <row r="387" spans="17:18" x14ac:dyDescent="0.3">
      <c r="Q387" s="32">
        <f>IF(Dados!A388="","",Dados!A388)</f>
        <v>128.19999999999999</v>
      </c>
      <c r="R387" s="32">
        <f t="shared" ref="R387:R450" si="6">Q387/PI()</f>
        <v>40.807327408761964</v>
      </c>
    </row>
    <row r="388" spans="17:18" x14ac:dyDescent="0.3">
      <c r="Q388" s="32">
        <f>IF(Dados!A389="","",Dados!A389)</f>
        <v>20</v>
      </c>
      <c r="R388" s="32">
        <f t="shared" si="6"/>
        <v>6.366197723675814</v>
      </c>
    </row>
    <row r="389" spans="17:18" x14ac:dyDescent="0.3">
      <c r="Q389" s="32">
        <f>IF(Dados!A390="","",Dados!A390)</f>
        <v>21.5</v>
      </c>
      <c r="R389" s="32">
        <f t="shared" si="6"/>
        <v>6.8436625529514998</v>
      </c>
    </row>
    <row r="390" spans="17:18" x14ac:dyDescent="0.3">
      <c r="Q390" s="32">
        <f>IF(Dados!A391="","",Dados!A391)</f>
        <v>25.7</v>
      </c>
      <c r="R390" s="32">
        <f t="shared" si="6"/>
        <v>8.1805640749234207</v>
      </c>
    </row>
    <row r="391" spans="17:18" x14ac:dyDescent="0.3">
      <c r="Q391" s="32">
        <f>IF(Dados!A392="","",Dados!A392)</f>
        <v>25.2</v>
      </c>
      <c r="R391" s="32">
        <f t="shared" si="6"/>
        <v>8.0214091318315255</v>
      </c>
    </row>
    <row r="392" spans="17:18" x14ac:dyDescent="0.3">
      <c r="Q392" s="32">
        <f>IF(Dados!A393="","",Dados!A393)</f>
        <v>23</v>
      </c>
      <c r="R392" s="32">
        <f t="shared" si="6"/>
        <v>7.3211273822271856</v>
      </c>
    </row>
    <row r="393" spans="17:18" x14ac:dyDescent="0.3">
      <c r="Q393" s="32">
        <f>IF(Dados!A394="","",Dados!A394)</f>
        <v>33.200000000000003</v>
      </c>
      <c r="R393" s="32">
        <f t="shared" si="6"/>
        <v>10.567888221301851</v>
      </c>
    </row>
    <row r="394" spans="17:18" x14ac:dyDescent="0.3">
      <c r="Q394" s="32">
        <f>IF(Dados!A395="","",Dados!A395)</f>
        <v>30.6</v>
      </c>
      <c r="R394" s="32">
        <f t="shared" si="6"/>
        <v>9.7402825172239957</v>
      </c>
    </row>
    <row r="395" spans="17:18" x14ac:dyDescent="0.3">
      <c r="Q395" s="32">
        <f>IF(Dados!A396="","",Dados!A396)</f>
        <v>29.3</v>
      </c>
      <c r="R395" s="32">
        <f t="shared" si="6"/>
        <v>9.326479665185067</v>
      </c>
    </row>
    <row r="396" spans="17:18" x14ac:dyDescent="0.3">
      <c r="Q396" s="32">
        <f>IF(Dados!A397="","",Dados!A397)</f>
        <v>43</v>
      </c>
      <c r="R396" s="32">
        <f t="shared" si="6"/>
        <v>13.687325105903</v>
      </c>
    </row>
    <row r="397" spans="17:18" x14ac:dyDescent="0.3">
      <c r="Q397" s="32">
        <f>IF(Dados!A398="","",Dados!A398)</f>
        <v>28.5</v>
      </c>
      <c r="R397" s="32">
        <f t="shared" si="6"/>
        <v>9.0718317562380353</v>
      </c>
    </row>
    <row r="398" spans="17:18" x14ac:dyDescent="0.3">
      <c r="Q398" s="32">
        <f>IF(Dados!A399="","",Dados!A399)</f>
        <v>18.600000000000001</v>
      </c>
      <c r="R398" s="32">
        <f t="shared" si="6"/>
        <v>5.9205638830185068</v>
      </c>
    </row>
    <row r="399" spans="17:18" x14ac:dyDescent="0.3">
      <c r="Q399" s="32">
        <f>IF(Dados!A400="","",Dados!A400)</f>
        <v>69</v>
      </c>
      <c r="R399" s="32">
        <f t="shared" si="6"/>
        <v>21.963382146681557</v>
      </c>
    </row>
    <row r="400" spans="17:18" x14ac:dyDescent="0.3">
      <c r="Q400" s="32">
        <f>IF(Dados!A401="","",Dados!A401)</f>
        <v>94.3</v>
      </c>
      <c r="R400" s="32">
        <f t="shared" si="6"/>
        <v>30.01662226713146</v>
      </c>
    </row>
    <row r="401" spans="17:18" x14ac:dyDescent="0.3">
      <c r="Q401" s="32">
        <f>IF(Dados!A402="","",Dados!A402)</f>
        <v>50.6</v>
      </c>
      <c r="R401" s="32">
        <f t="shared" si="6"/>
        <v>16.10648024089981</v>
      </c>
    </row>
    <row r="402" spans="17:18" x14ac:dyDescent="0.3">
      <c r="Q402" s="32">
        <f>IF(Dados!A403="","",Dados!A403)</f>
        <v>54</v>
      </c>
      <c r="R402" s="32">
        <f t="shared" si="6"/>
        <v>17.188733853924695</v>
      </c>
    </row>
    <row r="403" spans="17:18" x14ac:dyDescent="0.3">
      <c r="Q403" s="32">
        <f>IF(Dados!A404="","",Dados!A404)</f>
        <v>41.1</v>
      </c>
      <c r="R403" s="32">
        <f t="shared" si="6"/>
        <v>13.082536322153798</v>
      </c>
    </row>
    <row r="404" spans="17:18" x14ac:dyDescent="0.3">
      <c r="Q404" s="32">
        <f>IF(Dados!A405="","",Dados!A405)</f>
        <v>27.3</v>
      </c>
      <c r="R404" s="32">
        <f t="shared" si="6"/>
        <v>8.6898598928174859</v>
      </c>
    </row>
    <row r="405" spans="17:18" x14ac:dyDescent="0.3">
      <c r="Q405" s="32">
        <f>IF(Dados!A406="","",Dados!A406)</f>
        <v>53.8</v>
      </c>
      <c r="R405" s="32">
        <f t="shared" si="6"/>
        <v>17.125071876687937</v>
      </c>
    </row>
    <row r="406" spans="17:18" x14ac:dyDescent="0.3">
      <c r="Q406" s="32">
        <f>IF(Dados!A407="","",Dados!A407)</f>
        <v>43.8</v>
      </c>
      <c r="R406" s="32">
        <f t="shared" si="6"/>
        <v>13.941973014850031</v>
      </c>
    </row>
    <row r="407" spans="17:18" x14ac:dyDescent="0.3">
      <c r="Q407" s="32">
        <f>IF(Dados!A408="","",Dados!A408)</f>
        <v>32</v>
      </c>
      <c r="R407" s="32">
        <f t="shared" si="6"/>
        <v>10.185916357881302</v>
      </c>
    </row>
    <row r="408" spans="17:18" x14ac:dyDescent="0.3">
      <c r="Q408" s="32">
        <f>IF(Dados!A409="","",Dados!A409)</f>
        <v>80.7</v>
      </c>
      <c r="R408" s="32">
        <f t="shared" si="6"/>
        <v>25.68760781503191</v>
      </c>
    </row>
    <row r="409" spans="17:18" x14ac:dyDescent="0.3">
      <c r="Q409" s="32">
        <f>IF(Dados!A410="","",Dados!A410)</f>
        <v>88.5</v>
      </c>
      <c r="R409" s="32">
        <f t="shared" si="6"/>
        <v>28.170424927265476</v>
      </c>
    </row>
    <row r="410" spans="17:18" x14ac:dyDescent="0.3">
      <c r="Q410" s="32">
        <f>IF(Dados!A411="","",Dados!A411)</f>
        <v>42.2</v>
      </c>
      <c r="R410" s="32">
        <f t="shared" si="6"/>
        <v>13.432677196955968</v>
      </c>
    </row>
    <row r="411" spans="17:18" x14ac:dyDescent="0.3">
      <c r="Q411" s="32">
        <f>IF(Dados!A412="","",Dados!A412)</f>
        <v>30</v>
      </c>
      <c r="R411" s="32">
        <f t="shared" si="6"/>
        <v>9.5492965855137211</v>
      </c>
    </row>
    <row r="412" spans="17:18" x14ac:dyDescent="0.3">
      <c r="Q412" s="32">
        <f>IF(Dados!A413="","",Dados!A413)</f>
        <v>34</v>
      </c>
      <c r="R412" s="32">
        <f t="shared" si="6"/>
        <v>10.822536130248883</v>
      </c>
    </row>
    <row r="413" spans="17:18" x14ac:dyDescent="0.3">
      <c r="Q413" s="32">
        <f>IF(Dados!A414="","",Dados!A414)</f>
        <v>24.8</v>
      </c>
      <c r="R413" s="32">
        <f t="shared" si="6"/>
        <v>7.8940851773580096</v>
      </c>
    </row>
    <row r="414" spans="17:18" x14ac:dyDescent="0.3">
      <c r="Q414" s="32">
        <f>IF(Dados!A415="","",Dados!A415)</f>
        <v>61.5</v>
      </c>
      <c r="R414" s="32">
        <f t="shared" si="6"/>
        <v>19.576058000303128</v>
      </c>
    </row>
    <row r="415" spans="17:18" x14ac:dyDescent="0.3">
      <c r="Q415" s="32">
        <f>IF(Dados!A416="","",Dados!A416)</f>
        <v>40.799999999999997</v>
      </c>
      <c r="R415" s="32">
        <f t="shared" si="6"/>
        <v>12.98704335629866</v>
      </c>
    </row>
    <row r="416" spans="17:18" x14ac:dyDescent="0.3">
      <c r="Q416" s="32">
        <f>IF(Dados!A417="","",Dados!A417)</f>
        <v>20.8</v>
      </c>
      <c r="R416" s="32">
        <f t="shared" si="6"/>
        <v>6.6208456326228466</v>
      </c>
    </row>
    <row r="417" spans="17:18" x14ac:dyDescent="0.3">
      <c r="Q417" s="32">
        <f>IF(Dados!A418="","",Dados!A418)</f>
        <v>25</v>
      </c>
      <c r="R417" s="32">
        <f t="shared" si="6"/>
        <v>7.9577471545947667</v>
      </c>
    </row>
    <row r="418" spans="17:18" x14ac:dyDescent="0.3">
      <c r="Q418" s="32">
        <f>IF(Dados!A419="","",Dados!A419)</f>
        <v>21</v>
      </c>
      <c r="R418" s="32">
        <f t="shared" si="6"/>
        <v>6.6845076098596046</v>
      </c>
    </row>
    <row r="419" spans="17:18" x14ac:dyDescent="0.3">
      <c r="Q419" s="32">
        <f>IF(Dados!A420="","",Dados!A420)</f>
        <v>22.5</v>
      </c>
      <c r="R419" s="32">
        <f t="shared" si="6"/>
        <v>7.1619724391352904</v>
      </c>
    </row>
    <row r="420" spans="17:18" x14ac:dyDescent="0.3">
      <c r="Q420" s="32">
        <f>IF(Dados!A421="","",Dados!A421)</f>
        <v>18</v>
      </c>
      <c r="R420" s="32">
        <f t="shared" si="6"/>
        <v>5.7295779513082321</v>
      </c>
    </row>
    <row r="421" spans="17:18" x14ac:dyDescent="0.3">
      <c r="Q421" s="32">
        <f>IF(Dados!A422="","",Dados!A422)</f>
        <v>58.4</v>
      </c>
      <c r="R421" s="32">
        <f t="shared" si="6"/>
        <v>18.589297353133375</v>
      </c>
    </row>
    <row r="422" spans="17:18" x14ac:dyDescent="0.3">
      <c r="Q422" s="32">
        <f>IF(Dados!A423="","",Dados!A423)</f>
        <v>94.5</v>
      </c>
      <c r="R422" s="32">
        <f t="shared" si="6"/>
        <v>30.080284244368219</v>
      </c>
    </row>
    <row r="423" spans="17:18" x14ac:dyDescent="0.3">
      <c r="Q423" s="32">
        <f>IF(Dados!A424="","",Dados!A424)</f>
        <v>42.3</v>
      </c>
      <c r="R423" s="32">
        <f t="shared" si="6"/>
        <v>13.464508185574346</v>
      </c>
    </row>
    <row r="424" spans="17:18" x14ac:dyDescent="0.3">
      <c r="Q424" s="32">
        <f>IF(Dados!A425="","",Dados!A425)</f>
        <v>69.7</v>
      </c>
      <c r="R424" s="32">
        <f t="shared" si="6"/>
        <v>22.186199067010211</v>
      </c>
    </row>
    <row r="425" spans="17:18" x14ac:dyDescent="0.3">
      <c r="Q425" s="32">
        <f>IF(Dados!A426="","",Dados!A426)</f>
        <v>59.5</v>
      </c>
      <c r="R425" s="32">
        <f t="shared" si="6"/>
        <v>18.939438227935547</v>
      </c>
    </row>
    <row r="426" spans="17:18" x14ac:dyDescent="0.3">
      <c r="Q426" s="32">
        <f>IF(Dados!A427="","",Dados!A427)</f>
        <v>35.6</v>
      </c>
      <c r="R426" s="32">
        <f t="shared" si="6"/>
        <v>11.331831948142948</v>
      </c>
    </row>
    <row r="427" spans="17:18" x14ac:dyDescent="0.3">
      <c r="Q427" s="32">
        <f>IF(Dados!A428="","",Dados!A428)</f>
        <v>143.6</v>
      </c>
      <c r="R427" s="32">
        <f t="shared" si="6"/>
        <v>45.709299655992339</v>
      </c>
    </row>
    <row r="428" spans="17:18" x14ac:dyDescent="0.3">
      <c r="Q428" s="32">
        <f>IF(Dados!A429="","",Dados!A429)</f>
        <v>64.5</v>
      </c>
      <c r="R428" s="32">
        <f t="shared" si="6"/>
        <v>20.5309876588545</v>
      </c>
    </row>
    <row r="429" spans="17:18" x14ac:dyDescent="0.3">
      <c r="Q429" s="32">
        <f>IF(Dados!A430="","",Dados!A430)</f>
        <v>18.5</v>
      </c>
      <c r="R429" s="32">
        <f t="shared" si="6"/>
        <v>5.8887328944001274</v>
      </c>
    </row>
    <row r="430" spans="17:18" x14ac:dyDescent="0.3">
      <c r="Q430" s="32">
        <f>IF(Dados!A431="","",Dados!A431)</f>
        <v>43</v>
      </c>
      <c r="R430" s="32">
        <f t="shared" si="6"/>
        <v>13.687325105903</v>
      </c>
    </row>
    <row r="431" spans="17:18" x14ac:dyDescent="0.3">
      <c r="Q431" s="32">
        <f>IF(Dados!A432="","",Dados!A432)</f>
        <v>25.7</v>
      </c>
      <c r="R431" s="32">
        <f t="shared" si="6"/>
        <v>8.1805640749234207</v>
      </c>
    </row>
    <row r="432" spans="17:18" x14ac:dyDescent="0.3">
      <c r="Q432" s="32">
        <f>IF(Dados!A433="","",Dados!A433)</f>
        <v>62</v>
      </c>
      <c r="R432" s="32">
        <f t="shared" si="6"/>
        <v>19.735212943395023</v>
      </c>
    </row>
    <row r="433" spans="17:18" x14ac:dyDescent="0.3">
      <c r="Q433" s="32">
        <f>IF(Dados!A434="","",Dados!A434)</f>
        <v>18.8</v>
      </c>
      <c r="R433" s="32">
        <f t="shared" si="6"/>
        <v>5.9842258602552647</v>
      </c>
    </row>
    <row r="434" spans="17:18" x14ac:dyDescent="0.3">
      <c r="Q434" s="32">
        <f>IF(Dados!A435="","",Dados!A435)</f>
        <v>18.8</v>
      </c>
      <c r="R434" s="32">
        <f t="shared" si="6"/>
        <v>5.9842258602552647</v>
      </c>
    </row>
    <row r="435" spans="17:18" x14ac:dyDescent="0.3">
      <c r="Q435" s="32">
        <f>IF(Dados!A436="","",Dados!A436)</f>
        <v>17.2</v>
      </c>
      <c r="R435" s="32">
        <f t="shared" si="6"/>
        <v>5.4749300423611995</v>
      </c>
    </row>
    <row r="436" spans="17:18" x14ac:dyDescent="0.3">
      <c r="Q436" s="32">
        <f>IF(Dados!A437="","",Dados!A437)</f>
        <v>33</v>
      </c>
      <c r="R436" s="32">
        <f t="shared" si="6"/>
        <v>10.504226244065093</v>
      </c>
    </row>
    <row r="437" spans="17:18" x14ac:dyDescent="0.3">
      <c r="Q437" s="32">
        <f>IF(Dados!A438="","",Dados!A438)</f>
        <v>19.2</v>
      </c>
      <c r="R437" s="32">
        <f t="shared" si="6"/>
        <v>6.1115498147287806</v>
      </c>
    </row>
    <row r="438" spans="17:18" x14ac:dyDescent="0.3">
      <c r="Q438" s="32">
        <f>IF(Dados!A439="","",Dados!A439)</f>
        <v>23.8</v>
      </c>
      <c r="R438" s="32">
        <f t="shared" si="6"/>
        <v>7.5757752911742182</v>
      </c>
    </row>
    <row r="439" spans="17:18" x14ac:dyDescent="0.3">
      <c r="Q439" s="32">
        <f>IF(Dados!A440="","",Dados!A440)</f>
        <v>100.8</v>
      </c>
      <c r="R439" s="32">
        <f t="shared" si="6"/>
        <v>32.085636527326102</v>
      </c>
    </row>
    <row r="440" spans="17:18" x14ac:dyDescent="0.3">
      <c r="Q440" s="32">
        <f>IF(Dados!A441="","",Dados!A441)</f>
        <v>64.599999999999994</v>
      </c>
      <c r="R440" s="32">
        <f t="shared" si="6"/>
        <v>20.562818647472877</v>
      </c>
    </row>
    <row r="441" spans="17:18" x14ac:dyDescent="0.3">
      <c r="Q441" s="32">
        <f>IF(Dados!A442="","",Dados!A442)</f>
        <v>80.099999999999994</v>
      </c>
      <c r="R441" s="32">
        <f t="shared" si="6"/>
        <v>25.49662188332163</v>
      </c>
    </row>
    <row r="442" spans="17:18" x14ac:dyDescent="0.3">
      <c r="Q442" s="32">
        <f>IF(Dados!A443="","",Dados!A443)</f>
        <v>81</v>
      </c>
      <c r="R442" s="32">
        <f t="shared" si="6"/>
        <v>25.783100780887047</v>
      </c>
    </row>
    <row r="443" spans="17:18" x14ac:dyDescent="0.3">
      <c r="Q443" s="32">
        <f>IF(Dados!A444="","",Dados!A444)</f>
        <v>66</v>
      </c>
      <c r="R443" s="32">
        <f t="shared" si="6"/>
        <v>21.008452488130185</v>
      </c>
    </row>
    <row r="444" spans="17:18" x14ac:dyDescent="0.3">
      <c r="Q444" s="32">
        <f>IF(Dados!A445="","",Dados!A445)</f>
        <v>74.7</v>
      </c>
      <c r="R444" s="32">
        <f t="shared" si="6"/>
        <v>23.777748497929164</v>
      </c>
    </row>
    <row r="445" spans="17:18" x14ac:dyDescent="0.3">
      <c r="Q445" s="32">
        <f>IF(Dados!A446="","",Dados!A446)</f>
        <v>54.2</v>
      </c>
      <c r="R445" s="32">
        <f t="shared" si="6"/>
        <v>17.252395831161454</v>
      </c>
    </row>
    <row r="446" spans="17:18" x14ac:dyDescent="0.3">
      <c r="Q446" s="32">
        <f>IF(Dados!A447="","",Dados!A447)</f>
        <v>75.2</v>
      </c>
      <c r="R446" s="32">
        <f t="shared" si="6"/>
        <v>23.936903441021059</v>
      </c>
    </row>
    <row r="447" spans="17:18" x14ac:dyDescent="0.3">
      <c r="Q447" s="32">
        <f>IF(Dados!A448="","",Dados!A448)</f>
        <v>52.7</v>
      </c>
      <c r="R447" s="32">
        <f t="shared" si="6"/>
        <v>16.774931001885768</v>
      </c>
    </row>
    <row r="448" spans="17:18" x14ac:dyDescent="0.3">
      <c r="Q448" s="32">
        <f>IF(Dados!A449="","",Dados!A449)</f>
        <v>87.8</v>
      </c>
      <c r="R448" s="32">
        <f t="shared" si="6"/>
        <v>27.947608006936822</v>
      </c>
    </row>
    <row r="449" spans="17:18" x14ac:dyDescent="0.3">
      <c r="Q449" s="32">
        <f>IF(Dados!A450="","",Dados!A450)</f>
        <v>17.899999999999999</v>
      </c>
      <c r="R449" s="32">
        <f t="shared" si="6"/>
        <v>5.6977469626898527</v>
      </c>
    </row>
    <row r="450" spans="17:18" x14ac:dyDescent="0.3">
      <c r="Q450" s="32">
        <f>IF(Dados!A451="","",Dados!A451)</f>
        <v>169.5</v>
      </c>
      <c r="R450" s="32">
        <f t="shared" si="6"/>
        <v>53.953525708152519</v>
      </c>
    </row>
    <row r="451" spans="17:18" x14ac:dyDescent="0.3">
      <c r="Q451" s="32">
        <f>IF(Dados!A452="","",Dados!A452)</f>
        <v>31.7</v>
      </c>
      <c r="R451" s="32">
        <f t="shared" ref="R451:R501" si="7">Q451/PI()</f>
        <v>10.090423392026164</v>
      </c>
    </row>
    <row r="452" spans="17:18" x14ac:dyDescent="0.3">
      <c r="Q452" s="32">
        <f>IF(Dados!A453="","",Dados!A453)</f>
        <v>29.3</v>
      </c>
      <c r="R452" s="32">
        <f t="shared" si="7"/>
        <v>9.326479665185067</v>
      </c>
    </row>
    <row r="453" spans="17:18" x14ac:dyDescent="0.3">
      <c r="Q453" s="32">
        <f>IF(Dados!A454="","",Dados!A454)</f>
        <v>23</v>
      </c>
      <c r="R453" s="32">
        <f t="shared" si="7"/>
        <v>7.3211273822271856</v>
      </c>
    </row>
    <row r="454" spans="17:18" x14ac:dyDescent="0.3">
      <c r="Q454" s="32">
        <f>IF(Dados!A455="","",Dados!A455)</f>
        <v>18</v>
      </c>
      <c r="R454" s="32">
        <f t="shared" si="7"/>
        <v>5.7295779513082321</v>
      </c>
    </row>
    <row r="455" spans="17:18" x14ac:dyDescent="0.3">
      <c r="Q455" s="32">
        <f>IF(Dados!A456="","",Dados!A456)</f>
        <v>20</v>
      </c>
      <c r="R455" s="32">
        <f t="shared" si="7"/>
        <v>6.366197723675814</v>
      </c>
    </row>
    <row r="456" spans="17:18" x14ac:dyDescent="0.3">
      <c r="Q456" s="32">
        <f>IF(Dados!A457="","",Dados!A457)</f>
        <v>22.2</v>
      </c>
      <c r="R456" s="32">
        <f t="shared" si="7"/>
        <v>7.066479473280153</v>
      </c>
    </row>
    <row r="457" spans="17:18" x14ac:dyDescent="0.3">
      <c r="Q457" s="32">
        <f>IF(Dados!A458="","",Dados!A458)</f>
        <v>23.7</v>
      </c>
      <c r="R457" s="32">
        <f t="shared" si="7"/>
        <v>7.5439443025558388</v>
      </c>
    </row>
    <row r="458" spans="17:18" x14ac:dyDescent="0.3">
      <c r="Q458" s="32">
        <f>IF(Dados!A459="","",Dados!A459)</f>
        <v>121.1</v>
      </c>
      <c r="R458" s="32">
        <f t="shared" si="7"/>
        <v>38.547327216857049</v>
      </c>
    </row>
    <row r="459" spans="17:18" x14ac:dyDescent="0.3">
      <c r="Q459" s="32">
        <f>IF(Dados!A460="","",Dados!A460)</f>
        <v>69.8</v>
      </c>
      <c r="R459" s="32">
        <f t="shared" si="7"/>
        <v>22.218030055628589</v>
      </c>
    </row>
    <row r="460" spans="17:18" x14ac:dyDescent="0.3">
      <c r="Q460" s="32">
        <f>IF(Dados!A461="","",Dados!A461)</f>
        <v>53.7</v>
      </c>
      <c r="R460" s="32">
        <f t="shared" si="7"/>
        <v>17.093240888069559</v>
      </c>
    </row>
    <row r="461" spans="17:18" x14ac:dyDescent="0.3">
      <c r="Q461" s="32">
        <f>IF(Dados!A462="","",Dados!A462)</f>
        <v>36.9</v>
      </c>
      <c r="R461" s="32">
        <f t="shared" si="7"/>
        <v>11.745634800181875</v>
      </c>
    </row>
    <row r="462" spans="17:18" x14ac:dyDescent="0.3">
      <c r="Q462" s="32">
        <f>IF(Dados!A463="","",Dados!A463)</f>
        <v>46</v>
      </c>
      <c r="R462" s="32">
        <f t="shared" si="7"/>
        <v>14.642254764454371</v>
      </c>
    </row>
    <row r="463" spans="17:18" x14ac:dyDescent="0.3">
      <c r="Q463" s="32">
        <f>IF(Dados!A464="","",Dados!A464)</f>
        <v>66.2</v>
      </c>
      <c r="R463" s="32">
        <f t="shared" si="7"/>
        <v>21.072114465366944</v>
      </c>
    </row>
    <row r="464" spans="17:18" x14ac:dyDescent="0.3">
      <c r="Q464" s="32">
        <f>IF(Dados!A465="","",Dados!A465)</f>
        <v>64.099999999999994</v>
      </c>
      <c r="R464" s="32">
        <f t="shared" si="7"/>
        <v>20.403663704380982</v>
      </c>
    </row>
    <row r="465" spans="17:18" x14ac:dyDescent="0.3">
      <c r="Q465" s="32">
        <f>IF(Dados!A466="","",Dados!A466)</f>
        <v>44.6</v>
      </c>
      <c r="R465" s="32">
        <f t="shared" si="7"/>
        <v>14.196620923797065</v>
      </c>
    </row>
    <row r="466" spans="17:18" x14ac:dyDescent="0.3">
      <c r="Q466" s="32">
        <f>IF(Dados!A467="","",Dados!A467)</f>
        <v>137</v>
      </c>
      <c r="R466" s="32">
        <f t="shared" si="7"/>
        <v>43.608454407179323</v>
      </c>
    </row>
    <row r="467" spans="17:18" x14ac:dyDescent="0.3">
      <c r="Q467" s="32">
        <f>IF(Dados!A468="","",Dados!A468)</f>
        <v>71.5</v>
      </c>
      <c r="R467" s="32">
        <f t="shared" si="7"/>
        <v>22.759156862141033</v>
      </c>
    </row>
    <row r="468" spans="17:18" x14ac:dyDescent="0.3">
      <c r="Q468" s="32">
        <f>IF(Dados!A469="","",Dados!A469)</f>
        <v>77.5</v>
      </c>
      <c r="R468" s="32">
        <f t="shared" si="7"/>
        <v>24.669016179243776</v>
      </c>
    </row>
    <row r="469" spans="17:18" x14ac:dyDescent="0.3">
      <c r="Q469" s="32">
        <f>IF(Dados!A470="","",Dados!A470)</f>
        <v>51</v>
      </c>
      <c r="R469" s="32">
        <f t="shared" si="7"/>
        <v>16.233804195373324</v>
      </c>
    </row>
    <row r="470" spans="17:18" x14ac:dyDescent="0.3">
      <c r="Q470" s="32">
        <f>IF(Dados!A471="","",Dados!A471)</f>
        <v>25</v>
      </c>
      <c r="R470" s="32">
        <f t="shared" si="7"/>
        <v>7.9577471545947667</v>
      </c>
    </row>
    <row r="471" spans="17:18" x14ac:dyDescent="0.3">
      <c r="Q471" s="32">
        <f>IF(Dados!A472="","",Dados!A472)</f>
        <v>30</v>
      </c>
      <c r="R471" s="32">
        <f t="shared" si="7"/>
        <v>9.5492965855137211</v>
      </c>
    </row>
    <row r="472" spans="17:18" x14ac:dyDescent="0.3">
      <c r="Q472" s="32">
        <f>IF(Dados!A473="","",Dados!A473)</f>
        <v>35.5</v>
      </c>
      <c r="R472" s="32">
        <f t="shared" si="7"/>
        <v>11.300000959524569</v>
      </c>
    </row>
    <row r="473" spans="17:18" x14ac:dyDescent="0.3">
      <c r="Q473" s="32">
        <f>IF(Dados!A474="","",Dados!A474)</f>
        <v>22.4</v>
      </c>
      <c r="R473" s="32">
        <f t="shared" si="7"/>
        <v>7.130141450516911</v>
      </c>
    </row>
    <row r="474" spans="17:18" x14ac:dyDescent="0.3">
      <c r="Q474" s="32">
        <f>IF(Dados!A475="","",Dados!A475)</f>
        <v>51.2</v>
      </c>
      <c r="R474" s="32">
        <f t="shared" si="7"/>
        <v>16.297466172610083</v>
      </c>
    </row>
    <row r="475" spans="17:18" x14ac:dyDescent="0.3">
      <c r="Q475" s="32">
        <f>IF(Dados!A476="","",Dados!A476)</f>
        <v>34.799999999999997</v>
      </c>
      <c r="R475" s="32">
        <f t="shared" si="7"/>
        <v>11.077184039195915</v>
      </c>
    </row>
    <row r="476" spans="17:18" x14ac:dyDescent="0.3">
      <c r="Q476" s="32">
        <f>IF(Dados!A477="","",Dados!A477)</f>
        <v>29</v>
      </c>
      <c r="R476" s="32">
        <f t="shared" si="7"/>
        <v>9.2309866993299305</v>
      </c>
    </row>
    <row r="477" spans="17:18" x14ac:dyDescent="0.3">
      <c r="Q477" s="32">
        <f>IF(Dados!A478="","",Dados!A478)</f>
        <v>16.7</v>
      </c>
      <c r="R477" s="32">
        <f t="shared" si="7"/>
        <v>5.3157750992693042</v>
      </c>
    </row>
    <row r="478" spans="17:18" x14ac:dyDescent="0.3">
      <c r="Q478" s="32">
        <f>IF(Dados!A479="","",Dados!A479)</f>
        <v>21.2</v>
      </c>
      <c r="R478" s="32">
        <f t="shared" si="7"/>
        <v>6.7481695870963625</v>
      </c>
    </row>
    <row r="479" spans="17:18" x14ac:dyDescent="0.3">
      <c r="Q479" s="32">
        <f>IF(Dados!A480="","",Dados!A480)</f>
        <v>21.1</v>
      </c>
      <c r="R479" s="32">
        <f t="shared" si="7"/>
        <v>6.716338598477984</v>
      </c>
    </row>
    <row r="480" spans="17:18" x14ac:dyDescent="0.3">
      <c r="Q480" s="32">
        <f>IF(Dados!A481="","",Dados!A481)</f>
        <v>19.600000000000001</v>
      </c>
      <c r="R480" s="32">
        <f t="shared" si="7"/>
        <v>6.2388737692022982</v>
      </c>
    </row>
    <row r="481" spans="17:18" x14ac:dyDescent="0.3">
      <c r="Q481" s="32">
        <f>IF(Dados!A482="","",Dados!A482)</f>
        <v>26</v>
      </c>
      <c r="R481" s="32">
        <f t="shared" si="7"/>
        <v>8.2760570407785572</v>
      </c>
    </row>
    <row r="482" spans="17:18" x14ac:dyDescent="0.3">
      <c r="Q482" s="32">
        <f>IF(Dados!A483="","",Dados!A483)</f>
        <v>17.2</v>
      </c>
      <c r="R482" s="32">
        <f t="shared" si="7"/>
        <v>5.4749300423611995</v>
      </c>
    </row>
    <row r="483" spans="17:18" x14ac:dyDescent="0.3">
      <c r="Q483" s="32">
        <f>IF(Dados!A484="","",Dados!A484)</f>
        <v>49.9</v>
      </c>
      <c r="R483" s="32">
        <f t="shared" si="7"/>
        <v>15.883663320571154</v>
      </c>
    </row>
    <row r="484" spans="17:18" x14ac:dyDescent="0.3">
      <c r="Q484" s="32">
        <f>IF(Dados!A485="","",Dados!A485)</f>
        <v>52.3</v>
      </c>
      <c r="R484" s="32">
        <f t="shared" si="7"/>
        <v>16.647607047412251</v>
      </c>
    </row>
    <row r="485" spans="17:18" x14ac:dyDescent="0.3">
      <c r="Q485" s="32">
        <f>IF(Dados!A486="","",Dados!A486)</f>
        <v>62.5</v>
      </c>
      <c r="R485" s="32">
        <f t="shared" si="7"/>
        <v>19.894367886486918</v>
      </c>
    </row>
    <row r="486" spans="17:18" x14ac:dyDescent="0.3">
      <c r="Q486" s="32">
        <f>IF(Dados!A487="","",Dados!A487)</f>
        <v>83.2</v>
      </c>
      <c r="R486" s="32">
        <f t="shared" si="7"/>
        <v>26.483382530491387</v>
      </c>
    </row>
    <row r="487" spans="17:18" x14ac:dyDescent="0.3">
      <c r="Q487" s="32">
        <f>IF(Dados!A488="","",Dados!A488)</f>
        <v>39.700000000000003</v>
      </c>
      <c r="R487" s="32">
        <f t="shared" si="7"/>
        <v>12.636902481496492</v>
      </c>
    </row>
    <row r="488" spans="17:18" x14ac:dyDescent="0.3">
      <c r="Q488" s="32">
        <f>IF(Dados!A489="","",Dados!A489)</f>
        <v>129</v>
      </c>
      <c r="R488" s="32">
        <f t="shared" si="7"/>
        <v>41.061975317708999</v>
      </c>
    </row>
    <row r="489" spans="17:18" x14ac:dyDescent="0.3">
      <c r="Q489" s="32">
        <f>IF(Dados!A490="","",Dados!A490)</f>
        <v>24.8</v>
      </c>
      <c r="R489" s="32">
        <f t="shared" si="7"/>
        <v>7.8940851773580096</v>
      </c>
    </row>
    <row r="490" spans="17:18" x14ac:dyDescent="0.3">
      <c r="Q490" s="32">
        <f>IF(Dados!A491="","",Dados!A491)</f>
        <v>127.4</v>
      </c>
      <c r="R490" s="32">
        <f t="shared" si="7"/>
        <v>40.552679499814936</v>
      </c>
    </row>
    <row r="491" spans="17:18" x14ac:dyDescent="0.3">
      <c r="Q491" s="32">
        <f>IF(Dados!A492="","",Dados!A492)</f>
        <v>59.7</v>
      </c>
      <c r="R491" s="32">
        <f t="shared" si="7"/>
        <v>19.003100205172306</v>
      </c>
    </row>
    <row r="492" spans="17:18" x14ac:dyDescent="0.3">
      <c r="Q492" s="32">
        <f>IF(Dados!A493="","",Dados!A493)</f>
        <v>44.1</v>
      </c>
      <c r="R492" s="32">
        <f t="shared" si="7"/>
        <v>14.03746598070517</v>
      </c>
    </row>
    <row r="493" spans="17:18" x14ac:dyDescent="0.3">
      <c r="Q493" s="32">
        <f>IF(Dados!A494="","",Dados!A494)</f>
        <v>30.8</v>
      </c>
      <c r="R493" s="32">
        <f t="shared" si="7"/>
        <v>9.8039444944607528</v>
      </c>
    </row>
    <row r="494" spans="17:18" x14ac:dyDescent="0.3">
      <c r="Q494" s="32">
        <f>IF(Dados!A495="","",Dados!A495)</f>
        <v>28</v>
      </c>
      <c r="R494" s="32">
        <f t="shared" si="7"/>
        <v>8.91267681314614</v>
      </c>
    </row>
    <row r="495" spans="17:18" x14ac:dyDescent="0.3">
      <c r="Q495" s="32">
        <f>IF(Dados!A496="","",Dados!A496)</f>
        <v>25</v>
      </c>
      <c r="R495" s="32">
        <f t="shared" si="7"/>
        <v>7.9577471545947667</v>
      </c>
    </row>
    <row r="496" spans="17:18" x14ac:dyDescent="0.3">
      <c r="Q496" s="32">
        <f>IF(Dados!A497="","",Dados!A497)</f>
        <v>16.3</v>
      </c>
      <c r="R496" s="32">
        <f t="shared" si="7"/>
        <v>5.1884511447957884</v>
      </c>
    </row>
    <row r="497" spans="17:18" x14ac:dyDescent="0.3">
      <c r="Q497" s="32">
        <f>IF(Dados!A498="","",Dados!A498)</f>
        <v>19.3</v>
      </c>
      <c r="R497" s="32">
        <f t="shared" si="7"/>
        <v>6.1433808033471609</v>
      </c>
    </row>
    <row r="498" spans="17:18" x14ac:dyDescent="0.3">
      <c r="Q498" s="32">
        <f>IF(Dados!A499="","",Dados!A499)</f>
        <v>54.5</v>
      </c>
      <c r="R498" s="32">
        <f t="shared" si="7"/>
        <v>17.347888797016591</v>
      </c>
    </row>
    <row r="499" spans="17:18" x14ac:dyDescent="0.3">
      <c r="Q499" s="32">
        <f>IF(Dados!A500="","",Dados!A500)</f>
        <v>52.7</v>
      </c>
      <c r="R499" s="32">
        <f t="shared" si="7"/>
        <v>16.774931001885768</v>
      </c>
    </row>
    <row r="500" spans="17:18" x14ac:dyDescent="0.3">
      <c r="Q500" s="32">
        <f>IF(Dados!A501="","",Dados!A501)</f>
        <v>102.5</v>
      </c>
      <c r="R500" s="32">
        <f t="shared" si="7"/>
        <v>32.626763333838547</v>
      </c>
    </row>
    <row r="501" spans="17:18" x14ac:dyDescent="0.3">
      <c r="Q501" s="32">
        <f>IF(Dados!A502="","",Dados!A502)</f>
        <v>37.700000000000003</v>
      </c>
      <c r="R501" s="32">
        <f t="shared" si="7"/>
        <v>12.000282709128909</v>
      </c>
    </row>
    <row r="517" spans="18:18" x14ac:dyDescent="0.3">
      <c r="R517" s="32" t="str">
        <f>IF(Dados!A518="","",Dados!A518)</f>
        <v/>
      </c>
    </row>
    <row r="518" spans="18:18" x14ac:dyDescent="0.3">
      <c r="R518" s="32" t="str">
        <f>IF(Dados!A519="","",Dados!A519)</f>
        <v/>
      </c>
    </row>
    <row r="519" spans="18:18" x14ac:dyDescent="0.3">
      <c r="R519" s="32" t="str">
        <f>IF(Dados!A520="","",Dados!A520)</f>
        <v/>
      </c>
    </row>
    <row r="520" spans="18:18" x14ac:dyDescent="0.3">
      <c r="R520" s="32" t="str">
        <f>IF(Dados!A521="","",Dados!A521)</f>
        <v/>
      </c>
    </row>
    <row r="521" spans="18:18" x14ac:dyDescent="0.3">
      <c r="R521" s="32" t="str">
        <f>IF(Dados!A522="","",Dados!A522)</f>
        <v/>
      </c>
    </row>
    <row r="522" spans="18:18" x14ac:dyDescent="0.3">
      <c r="R522" s="32" t="str">
        <f>IF(Dados!A523="","",Dados!A523)</f>
        <v/>
      </c>
    </row>
    <row r="523" spans="18:18" x14ac:dyDescent="0.3">
      <c r="R523" s="32" t="str">
        <f>IF(Dados!A524="","",Dados!A524)</f>
        <v/>
      </c>
    </row>
    <row r="524" spans="18:18" x14ac:dyDescent="0.3">
      <c r="R524" s="32" t="str">
        <f>IF(Dados!A525="","",Dados!A525)</f>
        <v/>
      </c>
    </row>
    <row r="525" spans="18:18" x14ac:dyDescent="0.3">
      <c r="R525" s="32" t="str">
        <f>IF(Dados!A526="","",Dados!A526)</f>
        <v/>
      </c>
    </row>
    <row r="526" spans="18:18" x14ac:dyDescent="0.3">
      <c r="R526" s="32" t="str">
        <f>IF(Dados!A527="","",Dados!A527)</f>
        <v/>
      </c>
    </row>
    <row r="527" spans="18:18" x14ac:dyDescent="0.3">
      <c r="R527" s="32" t="str">
        <f>IF(Dados!A528="","",Dados!A528)</f>
        <v/>
      </c>
    </row>
    <row r="528" spans="18:18" x14ac:dyDescent="0.3">
      <c r="R528" s="32" t="str">
        <f>IF(Dados!A529="","",Dados!A529)</f>
        <v/>
      </c>
    </row>
    <row r="529" spans="18:18" x14ac:dyDescent="0.3">
      <c r="R529" s="32" t="str">
        <f>IF(Dados!A530="","",Dados!A530)</f>
        <v/>
      </c>
    </row>
    <row r="530" spans="18:18" x14ac:dyDescent="0.3">
      <c r="R530" s="32" t="str">
        <f>IF(Dados!A531="","",Dados!A531)</f>
        <v/>
      </c>
    </row>
    <row r="531" spans="18:18" x14ac:dyDescent="0.3">
      <c r="R531" s="32" t="str">
        <f>IF(Dados!A532="","",Dados!A532)</f>
        <v/>
      </c>
    </row>
    <row r="532" spans="18:18" x14ac:dyDescent="0.3">
      <c r="R532" s="32" t="str">
        <f>IF(Dados!A533="","",Dados!A533)</f>
        <v/>
      </c>
    </row>
    <row r="533" spans="18:18" x14ac:dyDescent="0.3">
      <c r="R533" s="32" t="str">
        <f>IF(Dados!A534="","",Dados!A534)</f>
        <v/>
      </c>
    </row>
    <row r="534" spans="18:18" x14ac:dyDescent="0.3">
      <c r="R534" s="32" t="str">
        <f>IF(Dados!A535="","",Dados!A535)</f>
        <v/>
      </c>
    </row>
    <row r="535" spans="18:18" x14ac:dyDescent="0.3">
      <c r="R535" s="32" t="str">
        <f>IF(Dados!A536="","",Dados!A536)</f>
        <v/>
      </c>
    </row>
    <row r="536" spans="18:18" x14ac:dyDescent="0.3">
      <c r="R536" s="32" t="str">
        <f>IF(Dados!A537="","",Dados!A537)</f>
        <v/>
      </c>
    </row>
    <row r="537" spans="18:18" x14ac:dyDescent="0.3">
      <c r="R537" s="32" t="str">
        <f>IF(Dados!A538="","",Dados!A538)</f>
        <v/>
      </c>
    </row>
    <row r="538" spans="18:18" x14ac:dyDescent="0.3">
      <c r="R538" s="32" t="str">
        <f>IF(Dados!A539="","",Dados!A539)</f>
        <v/>
      </c>
    </row>
    <row r="539" spans="18:18" x14ac:dyDescent="0.3">
      <c r="R539" s="32" t="str">
        <f>IF(Dados!A540="","",Dados!A540)</f>
        <v/>
      </c>
    </row>
    <row r="540" spans="18:18" x14ac:dyDescent="0.3">
      <c r="R540" s="32" t="str">
        <f>IF(Dados!A541="","",Dados!A541)</f>
        <v/>
      </c>
    </row>
    <row r="541" spans="18:18" x14ac:dyDescent="0.3">
      <c r="R541" s="32" t="str">
        <f>IF(Dados!A542="","",Dados!A542)</f>
        <v/>
      </c>
    </row>
    <row r="542" spans="18:18" x14ac:dyDescent="0.3">
      <c r="R542" s="32" t="str">
        <f>IF(Dados!A543="","",Dados!A543)</f>
        <v/>
      </c>
    </row>
    <row r="543" spans="18:18" x14ac:dyDescent="0.3">
      <c r="R543" s="32" t="str">
        <f>IF(Dados!A544="","",Dados!A544)</f>
        <v/>
      </c>
    </row>
    <row r="544" spans="18:18" x14ac:dyDescent="0.3">
      <c r="R544" s="32" t="str">
        <f>IF(Dados!A545="","",Dados!A545)</f>
        <v/>
      </c>
    </row>
    <row r="545" spans="18:18" x14ac:dyDescent="0.3">
      <c r="R545" s="32" t="str">
        <f>IF(Dados!A546="","",Dados!A546)</f>
        <v/>
      </c>
    </row>
    <row r="546" spans="18:18" x14ac:dyDescent="0.3">
      <c r="R546" s="32" t="str">
        <f>IF(Dados!A547="","",Dados!A547)</f>
        <v/>
      </c>
    </row>
    <row r="547" spans="18:18" x14ac:dyDescent="0.3">
      <c r="R547" s="32" t="str">
        <f>IF(Dados!A548="","",Dados!A548)</f>
        <v/>
      </c>
    </row>
    <row r="548" spans="18:18" x14ac:dyDescent="0.3">
      <c r="R548" s="32" t="str">
        <f>IF(Dados!A549="","",Dados!A549)</f>
        <v/>
      </c>
    </row>
    <row r="549" spans="18:18" x14ac:dyDescent="0.3">
      <c r="R549" s="32" t="str">
        <f>IF(Dados!A550="","",Dados!A550)</f>
        <v/>
      </c>
    </row>
    <row r="550" spans="18:18" x14ac:dyDescent="0.3">
      <c r="R550" s="32" t="str">
        <f>IF(Dados!A551="","",Dados!A551)</f>
        <v/>
      </c>
    </row>
    <row r="551" spans="18:18" x14ac:dyDescent="0.3">
      <c r="R551" s="32" t="str">
        <f>IF(Dados!A552="","",Dados!A552)</f>
        <v/>
      </c>
    </row>
    <row r="552" spans="18:18" x14ac:dyDescent="0.3">
      <c r="R552" s="32" t="str">
        <f>IF(Dados!A553="","",Dados!A553)</f>
        <v/>
      </c>
    </row>
    <row r="553" spans="18:18" x14ac:dyDescent="0.3">
      <c r="R553" s="32" t="str">
        <f>IF(Dados!A554="","",Dados!A554)</f>
        <v/>
      </c>
    </row>
    <row r="554" spans="18:18" x14ac:dyDescent="0.3">
      <c r="R554" s="32" t="str">
        <f>IF(Dados!A555="","",Dados!A555)</f>
        <v/>
      </c>
    </row>
    <row r="555" spans="18:18" x14ac:dyDescent="0.3">
      <c r="R555" s="32" t="str">
        <f>IF(Dados!A556="","",Dados!A556)</f>
        <v/>
      </c>
    </row>
    <row r="556" spans="18:18" x14ac:dyDescent="0.3">
      <c r="R556" s="32" t="str">
        <f>IF(Dados!A557="","",Dados!A557)</f>
        <v/>
      </c>
    </row>
    <row r="557" spans="18:18" x14ac:dyDescent="0.3">
      <c r="R557" s="32" t="str">
        <f>IF(Dados!A558="","",Dados!A558)</f>
        <v/>
      </c>
    </row>
    <row r="558" spans="18:18" x14ac:dyDescent="0.3">
      <c r="R558" s="32" t="str">
        <f>IF(Dados!A559="","",Dados!A559)</f>
        <v/>
      </c>
    </row>
    <row r="559" spans="18:18" x14ac:dyDescent="0.3">
      <c r="R559" s="32" t="str">
        <f>IF(Dados!A560="","",Dados!A560)</f>
        <v/>
      </c>
    </row>
    <row r="560" spans="18:18" x14ac:dyDescent="0.3">
      <c r="R560" s="32" t="str">
        <f>IF(Dados!A561="","",Dados!A561)</f>
        <v/>
      </c>
    </row>
    <row r="561" spans="18:18" x14ac:dyDescent="0.3">
      <c r="R561" s="32" t="str">
        <f>IF(Dados!A562="","",Dados!A562)</f>
        <v/>
      </c>
    </row>
    <row r="562" spans="18:18" x14ac:dyDescent="0.3">
      <c r="R562" s="32" t="str">
        <f>IF(Dados!A563="","",Dados!A563)</f>
        <v/>
      </c>
    </row>
    <row r="563" spans="18:18" x14ac:dyDescent="0.3">
      <c r="R563" s="32" t="str">
        <f>IF(Dados!A564="","",Dados!A564)</f>
        <v/>
      </c>
    </row>
    <row r="564" spans="18:18" x14ac:dyDescent="0.3">
      <c r="R564" s="32" t="str">
        <f>IF(Dados!A565="","",Dados!A565)</f>
        <v/>
      </c>
    </row>
    <row r="565" spans="18:18" x14ac:dyDescent="0.3">
      <c r="R565" s="32" t="str">
        <f>IF(Dados!A566="","",Dados!A566)</f>
        <v/>
      </c>
    </row>
    <row r="566" spans="18:18" x14ac:dyDescent="0.3">
      <c r="R566" s="32" t="str">
        <f>IF(Dados!A567="","",Dados!A567)</f>
        <v/>
      </c>
    </row>
    <row r="567" spans="18:18" x14ac:dyDescent="0.3">
      <c r="R567" s="32" t="str">
        <f>IF(Dados!A568="","",Dados!A568)</f>
        <v/>
      </c>
    </row>
    <row r="568" spans="18:18" x14ac:dyDescent="0.3">
      <c r="R568" s="32" t="str">
        <f>IF(Dados!A569="","",Dados!A569)</f>
        <v/>
      </c>
    </row>
    <row r="569" spans="18:18" x14ac:dyDescent="0.3">
      <c r="R569" s="32" t="str">
        <f>IF(Dados!A570="","",Dados!A570)</f>
        <v/>
      </c>
    </row>
    <row r="570" spans="18:18" x14ac:dyDescent="0.3">
      <c r="R570" s="32" t="str">
        <f>IF(Dados!A571="","",Dados!A571)</f>
        <v/>
      </c>
    </row>
    <row r="571" spans="18:18" x14ac:dyDescent="0.3">
      <c r="R571" s="32" t="str">
        <f>IF(Dados!A572="","",Dados!A572)</f>
        <v/>
      </c>
    </row>
    <row r="572" spans="18:18" x14ac:dyDescent="0.3">
      <c r="R572" s="32" t="str">
        <f>IF(Dados!A573="","",Dados!A573)</f>
        <v/>
      </c>
    </row>
    <row r="573" spans="18:18" x14ac:dyDescent="0.3">
      <c r="R573" s="32" t="str">
        <f>IF(Dados!A574="","",Dados!A574)</f>
        <v/>
      </c>
    </row>
    <row r="574" spans="18:18" x14ac:dyDescent="0.3">
      <c r="R574" s="32" t="str">
        <f>IF(Dados!A575="","",Dados!A575)</f>
        <v/>
      </c>
    </row>
    <row r="575" spans="18:18" x14ac:dyDescent="0.3">
      <c r="R575" s="32" t="str">
        <f>IF(Dados!A576="","",Dados!A576)</f>
        <v/>
      </c>
    </row>
    <row r="576" spans="18:18" x14ac:dyDescent="0.3">
      <c r="R576" s="32" t="str">
        <f>IF(Dados!A577="","",Dados!A577)</f>
        <v/>
      </c>
    </row>
    <row r="577" spans="18:18" x14ac:dyDescent="0.3">
      <c r="R577" s="32" t="str">
        <f>IF(Dados!A578="","",Dados!A578)</f>
        <v/>
      </c>
    </row>
    <row r="578" spans="18:18" x14ac:dyDescent="0.3">
      <c r="R578" s="32" t="str">
        <f>IF(Dados!A579="","",Dados!A579)</f>
        <v/>
      </c>
    </row>
    <row r="579" spans="18:18" x14ac:dyDescent="0.3">
      <c r="R579" s="32" t="str">
        <f>IF(Dados!A580="","",Dados!A580)</f>
        <v/>
      </c>
    </row>
    <row r="580" spans="18:18" x14ac:dyDescent="0.3">
      <c r="R580" s="32" t="str">
        <f>IF(Dados!A581="","",Dados!A581)</f>
        <v/>
      </c>
    </row>
    <row r="581" spans="18:18" x14ac:dyDescent="0.3">
      <c r="R581" s="32" t="str">
        <f>IF(Dados!A582="","",Dados!A582)</f>
        <v/>
      </c>
    </row>
    <row r="582" spans="18:18" x14ac:dyDescent="0.3">
      <c r="R582" s="32" t="str">
        <f>IF(Dados!A583="","",Dados!A583)</f>
        <v/>
      </c>
    </row>
    <row r="583" spans="18:18" x14ac:dyDescent="0.3">
      <c r="R583" s="32" t="str">
        <f>IF(Dados!A584="","",Dados!A584)</f>
        <v/>
      </c>
    </row>
    <row r="584" spans="18:18" x14ac:dyDescent="0.3">
      <c r="R584" s="32" t="str">
        <f>IF(Dados!A585="","",Dados!A585)</f>
        <v/>
      </c>
    </row>
    <row r="585" spans="18:18" x14ac:dyDescent="0.3">
      <c r="R585" s="32" t="str">
        <f>IF(Dados!A586="","",Dados!A586)</f>
        <v/>
      </c>
    </row>
    <row r="586" spans="18:18" x14ac:dyDescent="0.3">
      <c r="R586" s="32" t="str">
        <f>IF(Dados!A587="","",Dados!A587)</f>
        <v/>
      </c>
    </row>
    <row r="587" spans="18:18" x14ac:dyDescent="0.3">
      <c r="R587" s="32" t="str">
        <f>IF(Dados!A588="","",Dados!A588)</f>
        <v/>
      </c>
    </row>
    <row r="588" spans="18:18" x14ac:dyDescent="0.3">
      <c r="R588" s="32" t="str">
        <f>IF(Dados!A589="","",Dados!A589)</f>
        <v/>
      </c>
    </row>
    <row r="589" spans="18:18" x14ac:dyDescent="0.3">
      <c r="R589" s="32" t="str">
        <f>IF(Dados!A590="","",Dados!A590)</f>
        <v/>
      </c>
    </row>
    <row r="590" spans="18:18" x14ac:dyDescent="0.3">
      <c r="R590" s="32" t="str">
        <f>IF(Dados!A591="","",Dados!A591)</f>
        <v/>
      </c>
    </row>
    <row r="591" spans="18:18" x14ac:dyDescent="0.3">
      <c r="R591" s="32" t="str">
        <f>IF(Dados!A592="","",Dados!A592)</f>
        <v/>
      </c>
    </row>
    <row r="592" spans="18:18" x14ac:dyDescent="0.3">
      <c r="R592" s="32" t="str">
        <f>IF(Dados!A593="","",Dados!A593)</f>
        <v/>
      </c>
    </row>
    <row r="593" spans="18:18" x14ac:dyDescent="0.3">
      <c r="R593" s="32" t="str">
        <f>IF(Dados!A594="","",Dados!A594)</f>
        <v/>
      </c>
    </row>
    <row r="594" spans="18:18" x14ac:dyDescent="0.3">
      <c r="R594" s="32" t="str">
        <f>IF(Dados!A595="","",Dados!A595)</f>
        <v/>
      </c>
    </row>
    <row r="595" spans="18:18" x14ac:dyDescent="0.3">
      <c r="R595" s="32" t="str">
        <f>IF(Dados!A596="","",Dados!A596)</f>
        <v/>
      </c>
    </row>
    <row r="596" spans="18:18" x14ac:dyDescent="0.3">
      <c r="R596" s="32" t="str">
        <f>IF(Dados!A597="","",Dados!A597)</f>
        <v/>
      </c>
    </row>
    <row r="597" spans="18:18" x14ac:dyDescent="0.3">
      <c r="R597" s="32" t="str">
        <f>IF(Dados!A598="","",Dados!A598)</f>
        <v/>
      </c>
    </row>
    <row r="598" spans="18:18" x14ac:dyDescent="0.3">
      <c r="R598" s="32" t="str">
        <f>IF(Dados!A599="","",Dados!A599)</f>
        <v/>
      </c>
    </row>
    <row r="599" spans="18:18" x14ac:dyDescent="0.3">
      <c r="R599" s="32" t="str">
        <f>IF(Dados!A600="","",Dados!A600)</f>
        <v/>
      </c>
    </row>
    <row r="600" spans="18:18" x14ac:dyDescent="0.3">
      <c r="R600" s="32" t="str">
        <f>IF(Dados!A601="","",Dados!A601)</f>
        <v/>
      </c>
    </row>
    <row r="601" spans="18:18" x14ac:dyDescent="0.3">
      <c r="R601" s="32" t="str">
        <f>IF(Dados!A602="","",Dados!A602)</f>
        <v/>
      </c>
    </row>
    <row r="602" spans="18:18" x14ac:dyDescent="0.3">
      <c r="R602" s="32" t="str">
        <f>IF(Dados!A603="","",Dados!A603)</f>
        <v/>
      </c>
    </row>
    <row r="603" spans="18:18" x14ac:dyDescent="0.3">
      <c r="R603" s="32" t="str">
        <f>IF(Dados!A604="","",Dados!A604)</f>
        <v/>
      </c>
    </row>
    <row r="604" spans="18:18" x14ac:dyDescent="0.3">
      <c r="R604" s="32" t="str">
        <f>IF(Dados!A605="","",Dados!A605)</f>
        <v/>
      </c>
    </row>
    <row r="605" spans="18:18" x14ac:dyDescent="0.3">
      <c r="R605" s="32" t="str">
        <f>IF(Dados!A606="","",Dados!A606)</f>
        <v/>
      </c>
    </row>
    <row r="606" spans="18:18" x14ac:dyDescent="0.3">
      <c r="R606" s="32" t="str">
        <f>IF(Dados!A607="","",Dados!A607)</f>
        <v/>
      </c>
    </row>
    <row r="607" spans="18:18" x14ac:dyDescent="0.3">
      <c r="R607" s="32" t="str">
        <f>IF(Dados!A608="","",Dados!A608)</f>
        <v/>
      </c>
    </row>
    <row r="608" spans="18:18" x14ac:dyDescent="0.3">
      <c r="R608" s="32" t="str">
        <f>IF(Dados!A609="","",Dados!A609)</f>
        <v/>
      </c>
    </row>
    <row r="609" spans="18:18" x14ac:dyDescent="0.3">
      <c r="R609" s="32" t="str">
        <f>IF(Dados!A610="","",Dados!A610)</f>
        <v/>
      </c>
    </row>
    <row r="610" spans="18:18" x14ac:dyDescent="0.3">
      <c r="R610" s="32" t="str">
        <f>IF(Dados!A611="","",Dados!A611)</f>
        <v/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ADB9-E830-4A52-A7BD-E0542EE1F578}">
  <dimension ref="A1:AX501"/>
  <sheetViews>
    <sheetView showZeros="0" zoomScaleNormal="100" workbookViewId="0">
      <selection activeCell="O24" sqref="O24"/>
    </sheetView>
  </sheetViews>
  <sheetFormatPr defaultRowHeight="14.4" x14ac:dyDescent="0.3"/>
  <cols>
    <col min="13" max="13" width="8.88671875" style="7"/>
    <col min="14" max="15" width="8.88671875" style="29"/>
    <col min="16" max="16" width="8.88671875" style="29" customWidth="1"/>
    <col min="17" max="17" width="10.109375" style="32" customWidth="1"/>
    <col min="18" max="18" width="10.109375" style="7" customWidth="1"/>
    <col min="19" max="20" width="8.88671875" style="32"/>
    <col min="21" max="21" width="8.88671875" style="31"/>
    <col min="22" max="23" width="8.88671875" style="7"/>
    <col min="24" max="30" width="8.88671875" style="9"/>
    <col min="31" max="50" width="8.88671875" style="7"/>
  </cols>
  <sheetData>
    <row r="1" spans="1:21" x14ac:dyDescent="0.3">
      <c r="A1" s="3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Q1" s="32" t="s">
        <v>11</v>
      </c>
      <c r="S1" s="32" t="s">
        <v>12</v>
      </c>
      <c r="T1" s="32" t="s">
        <v>13</v>
      </c>
      <c r="U1" s="52" t="s">
        <v>31</v>
      </c>
    </row>
    <row r="2" spans="1:2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Q2" s="32">
        <f>IF(Dados!B3="","",Dados!B3)</f>
        <v>4.5</v>
      </c>
      <c r="S2" s="32">
        <v>2.99</v>
      </c>
      <c r="T2" s="32" cm="1">
        <f t="array" ref="T2:T14">FREQUENCY(Q2:Q501,S2:S13)</f>
        <v>14</v>
      </c>
      <c r="U2" s="31" t="s">
        <v>32</v>
      </c>
    </row>
    <row r="3" spans="1:2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Q3" s="32">
        <f>IF(Dados!B4="","",Dados!B4)</f>
        <v>4.5</v>
      </c>
      <c r="S3" s="32">
        <v>3.99</v>
      </c>
      <c r="T3" s="32">
        <v>17</v>
      </c>
      <c r="U3" s="31" t="s">
        <v>46</v>
      </c>
    </row>
    <row r="4" spans="1:21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Q4" s="32">
        <f>IF(Dados!B5="","",Dados!B5)</f>
        <v>4.5</v>
      </c>
      <c r="S4" s="32">
        <v>4.99</v>
      </c>
      <c r="T4" s="32">
        <v>42</v>
      </c>
      <c r="U4" s="31" t="s">
        <v>33</v>
      </c>
    </row>
    <row r="5" spans="1:2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Q5" s="32">
        <f>IF(Dados!B6="","",Dados!B6)</f>
        <v>5</v>
      </c>
      <c r="S5" s="32">
        <v>5.99</v>
      </c>
      <c r="T5" s="32">
        <v>56</v>
      </c>
      <c r="U5" s="31" t="s">
        <v>34</v>
      </c>
    </row>
    <row r="6" spans="1:21" x14ac:dyDescent="0.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Q6" s="32">
        <f>IF(Dados!B7="","",Dados!B7)</f>
        <v>6</v>
      </c>
      <c r="S6" s="32">
        <v>6.99</v>
      </c>
      <c r="T6" s="32">
        <v>56</v>
      </c>
      <c r="U6" s="31" t="s">
        <v>35</v>
      </c>
    </row>
    <row r="7" spans="1:21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Q7" s="32">
        <f>IF(Dados!B8="","",Dados!B8)</f>
        <v>4</v>
      </c>
      <c r="S7" s="32">
        <v>7.99</v>
      </c>
      <c r="T7" s="32">
        <v>72</v>
      </c>
      <c r="U7" s="31" t="s">
        <v>36</v>
      </c>
    </row>
    <row r="8" spans="1:21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Q8" s="32">
        <f>IF(Dados!B9="","",Dados!B9)</f>
        <v>6</v>
      </c>
      <c r="S8" s="32">
        <v>8.99</v>
      </c>
      <c r="T8" s="32">
        <v>71</v>
      </c>
      <c r="U8" s="31" t="s">
        <v>37</v>
      </c>
    </row>
    <row r="9" spans="1:2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Q9" s="32">
        <f>IF(Dados!B10="","",Dados!B10)</f>
        <v>5</v>
      </c>
      <c r="S9" s="32">
        <v>9.99</v>
      </c>
      <c r="T9" s="32">
        <v>55</v>
      </c>
      <c r="U9" s="31" t="s">
        <v>38</v>
      </c>
    </row>
    <row r="10" spans="1:21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Q10" s="32">
        <f>IF(Dados!B11="","",Dados!B11)</f>
        <v>4</v>
      </c>
      <c r="S10" s="32">
        <v>10.99</v>
      </c>
      <c r="T10" s="32">
        <v>55</v>
      </c>
      <c r="U10" s="31" t="s">
        <v>39</v>
      </c>
    </row>
    <row r="11" spans="1:2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Q11" s="32">
        <f>IF(Dados!B12="","",Dados!B12)</f>
        <v>4</v>
      </c>
      <c r="S11" s="32">
        <v>11.99</v>
      </c>
      <c r="T11" s="32">
        <v>28</v>
      </c>
      <c r="U11" s="31" t="s">
        <v>40</v>
      </c>
    </row>
    <row r="12" spans="1:2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Q12" s="32">
        <f>IF(Dados!B13="","",Dados!B13)</f>
        <v>6</v>
      </c>
      <c r="S12" s="32">
        <v>12.99</v>
      </c>
      <c r="T12" s="32">
        <v>19</v>
      </c>
      <c r="U12" s="31" t="s">
        <v>41</v>
      </c>
    </row>
    <row r="13" spans="1:2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Q13" s="32">
        <f>IF(Dados!B14="","",Dados!B14)</f>
        <v>5</v>
      </c>
      <c r="S13" s="32">
        <v>20</v>
      </c>
      <c r="T13" s="32">
        <v>15</v>
      </c>
      <c r="U13" s="31" t="s">
        <v>42</v>
      </c>
    </row>
    <row r="14" spans="1:2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Q14" s="32">
        <f>IF(Dados!B15="","",Dados!B15)</f>
        <v>3</v>
      </c>
      <c r="T14" s="32">
        <v>0</v>
      </c>
    </row>
    <row r="15" spans="1:2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Q15" s="32">
        <f>IF(Dados!B16="","",Dados!B16)</f>
        <v>8</v>
      </c>
    </row>
    <row r="16" spans="1:2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Q16" s="32">
        <f>IF(Dados!B17="","",Dados!B17)</f>
        <v>10</v>
      </c>
    </row>
    <row r="17" spans="1:30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Q17" s="32">
        <f>IF(Dados!B18="","",Dados!B18)</f>
        <v>8</v>
      </c>
    </row>
    <row r="18" spans="1:30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Q18" s="32">
        <f>IF(Dados!B19="","",Dados!B19)</f>
        <v>9</v>
      </c>
    </row>
    <row r="19" spans="1:30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Q19" s="32">
        <f>IF(Dados!B20="","",Dados!B20)</f>
        <v>8</v>
      </c>
    </row>
    <row r="20" spans="1:30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Q20" s="32">
        <f>IF(Dados!B21="","",Dados!B21)</f>
        <v>7</v>
      </c>
    </row>
    <row r="21" spans="1:30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Q21" s="32">
        <f>IF(Dados!B22="","",Dados!B22)</f>
        <v>7</v>
      </c>
    </row>
    <row r="22" spans="1:30" ht="15" thickBot="1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Q22" s="32">
        <f>IF(Dados!B23="","",Dados!B23)</f>
        <v>7</v>
      </c>
    </row>
    <row r="23" spans="1:30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48" t="s">
        <v>43</v>
      </c>
      <c r="L23" s="49">
        <f>MIN(Q2:Q501)</f>
        <v>1.5</v>
      </c>
      <c r="Q23" s="32">
        <f>IF(Dados!B24="","",Dados!B24)</f>
        <v>5</v>
      </c>
    </row>
    <row r="24" spans="1:30" ht="15" thickBot="1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50" t="s">
        <v>44</v>
      </c>
      <c r="L24" s="51">
        <f>MAX(Q2:Q501)</f>
        <v>14</v>
      </c>
      <c r="Q24" s="32">
        <f>IF(Dados!B25="","",Dados!B25)</f>
        <v>5</v>
      </c>
    </row>
    <row r="25" spans="1:30" s="7" customFormat="1" x14ac:dyDescent="0.3">
      <c r="N25" s="29"/>
      <c r="O25" s="29"/>
      <c r="P25" s="29"/>
      <c r="Q25" s="32">
        <f>IF(Dados!B26="","",Dados!B26)</f>
        <v>3</v>
      </c>
      <c r="S25" s="32"/>
      <c r="T25" s="32"/>
      <c r="U25" s="31"/>
      <c r="X25" s="9"/>
      <c r="Y25" s="9"/>
      <c r="Z25" s="9"/>
      <c r="AA25" s="9"/>
      <c r="AB25" s="9"/>
      <c r="AC25" s="9"/>
      <c r="AD25" s="9"/>
    </row>
    <row r="26" spans="1:30" s="7" customFormat="1" x14ac:dyDescent="0.3">
      <c r="N26" s="29"/>
      <c r="O26" s="29"/>
      <c r="P26" s="29"/>
      <c r="Q26" s="32">
        <f>IF(Dados!B27="","",Dados!B27)</f>
        <v>3.5</v>
      </c>
      <c r="S26" s="32"/>
      <c r="T26" s="32"/>
      <c r="U26" s="31"/>
      <c r="X26" s="9"/>
      <c r="Y26" s="9"/>
      <c r="Z26" s="9"/>
      <c r="AA26" s="9"/>
      <c r="AB26" s="9"/>
      <c r="AC26" s="9"/>
      <c r="AD26" s="9"/>
    </row>
    <row r="27" spans="1:30" s="7" customFormat="1" x14ac:dyDescent="0.3">
      <c r="N27" s="29"/>
      <c r="O27" s="29"/>
      <c r="P27" s="29"/>
      <c r="Q27" s="32">
        <f>IF(Dados!B28="","",Dados!B28)</f>
        <v>4</v>
      </c>
      <c r="S27" s="32"/>
      <c r="T27" s="32"/>
      <c r="U27" s="31"/>
      <c r="X27" s="9"/>
      <c r="Y27" s="9"/>
      <c r="Z27" s="9"/>
      <c r="AA27" s="9"/>
      <c r="AB27" s="9"/>
      <c r="AC27" s="9"/>
      <c r="AD27" s="9"/>
    </row>
    <row r="28" spans="1:30" s="7" customFormat="1" x14ac:dyDescent="0.3">
      <c r="N28" s="29"/>
      <c r="O28" s="29"/>
      <c r="P28" s="29"/>
      <c r="Q28" s="32">
        <f>IF(Dados!B29="","",Dados!B29)</f>
        <v>4</v>
      </c>
      <c r="S28" s="32"/>
      <c r="T28" s="32"/>
      <c r="U28" s="31"/>
      <c r="X28" s="9"/>
      <c r="Y28" s="9"/>
      <c r="Z28" s="9"/>
      <c r="AA28" s="9"/>
      <c r="AB28" s="9"/>
      <c r="AC28" s="9"/>
      <c r="AD28" s="9"/>
    </row>
    <row r="29" spans="1:30" s="7" customFormat="1" x14ac:dyDescent="0.3">
      <c r="N29" s="29"/>
      <c r="O29" s="29"/>
      <c r="P29" s="29"/>
      <c r="Q29" s="32">
        <f>IF(Dados!B30="","",Dados!B30)</f>
        <v>6</v>
      </c>
      <c r="S29" s="32"/>
      <c r="T29" s="32"/>
      <c r="U29" s="31"/>
      <c r="X29" s="9"/>
      <c r="Y29" s="9"/>
      <c r="Z29" s="9"/>
      <c r="AA29" s="9"/>
      <c r="AB29" s="9"/>
      <c r="AC29" s="9"/>
      <c r="AD29" s="9"/>
    </row>
    <row r="30" spans="1:30" s="7" customFormat="1" x14ac:dyDescent="0.3">
      <c r="N30" s="29"/>
      <c r="O30" s="29"/>
      <c r="P30" s="29"/>
      <c r="Q30" s="32">
        <f>IF(Dados!B31="","",Dados!B31)</f>
        <v>6</v>
      </c>
      <c r="S30" s="32"/>
      <c r="T30" s="32"/>
      <c r="U30" s="31"/>
      <c r="X30" s="9"/>
      <c r="Y30" s="9"/>
      <c r="Z30" s="9"/>
      <c r="AA30" s="9"/>
      <c r="AB30" s="9"/>
      <c r="AC30" s="9"/>
      <c r="AD30" s="9"/>
    </row>
    <row r="31" spans="1:30" s="7" customFormat="1" x14ac:dyDescent="0.3">
      <c r="N31" s="29"/>
      <c r="O31" s="29"/>
      <c r="P31" s="29"/>
      <c r="Q31" s="32">
        <f>IF(Dados!B32="","",Dados!B32)</f>
        <v>8</v>
      </c>
      <c r="S31" s="32"/>
      <c r="T31" s="32"/>
      <c r="U31" s="31"/>
      <c r="X31" s="9"/>
      <c r="Y31" s="9"/>
      <c r="Z31" s="9"/>
      <c r="AA31" s="9"/>
      <c r="AB31" s="9"/>
      <c r="AC31" s="9"/>
      <c r="AD31" s="9"/>
    </row>
    <row r="32" spans="1:30" s="7" customFormat="1" x14ac:dyDescent="0.3">
      <c r="N32" s="29"/>
      <c r="O32" s="29"/>
      <c r="P32" s="29"/>
      <c r="Q32" s="32">
        <f>IF(Dados!B33="","",Dados!B33)</f>
        <v>8</v>
      </c>
      <c r="S32" s="32"/>
      <c r="T32" s="32"/>
      <c r="U32" s="31"/>
      <c r="X32" s="9"/>
      <c r="Y32" s="9"/>
      <c r="Z32" s="9"/>
      <c r="AA32" s="9"/>
      <c r="AB32" s="9"/>
      <c r="AC32" s="9"/>
      <c r="AD32" s="9"/>
    </row>
    <row r="33" spans="14:30" s="7" customFormat="1" x14ac:dyDescent="0.3">
      <c r="N33" s="29"/>
      <c r="O33" s="29"/>
      <c r="P33" s="29"/>
      <c r="Q33" s="32">
        <f>IF(Dados!B34="","",Dados!B34)</f>
        <v>8</v>
      </c>
      <c r="S33" s="32"/>
      <c r="T33" s="32"/>
      <c r="U33" s="31"/>
      <c r="X33" s="9"/>
      <c r="Y33" s="9"/>
      <c r="Z33" s="9"/>
      <c r="AA33" s="9"/>
      <c r="AB33" s="9"/>
      <c r="AC33" s="9"/>
      <c r="AD33" s="9"/>
    </row>
    <row r="34" spans="14:30" s="7" customFormat="1" x14ac:dyDescent="0.3">
      <c r="N34" s="29"/>
      <c r="O34" s="29"/>
      <c r="P34" s="29"/>
      <c r="Q34" s="32">
        <f>IF(Dados!B35="","",Dados!B35)</f>
        <v>9</v>
      </c>
      <c r="S34" s="32"/>
      <c r="T34" s="32"/>
      <c r="U34" s="31"/>
      <c r="X34" s="9"/>
      <c r="Y34" s="9"/>
      <c r="Z34" s="9"/>
      <c r="AA34" s="9"/>
      <c r="AB34" s="9"/>
      <c r="AC34" s="9"/>
      <c r="AD34" s="9"/>
    </row>
    <row r="35" spans="14:30" s="7" customFormat="1" x14ac:dyDescent="0.3">
      <c r="N35" s="29"/>
      <c r="O35" s="29"/>
      <c r="P35" s="29"/>
      <c r="Q35" s="32">
        <f>IF(Dados!B36="","",Dados!B36)</f>
        <v>10</v>
      </c>
      <c r="S35" s="32"/>
      <c r="T35" s="32"/>
      <c r="U35" s="31"/>
      <c r="X35" s="9"/>
      <c r="Y35" s="9"/>
      <c r="Z35" s="9"/>
      <c r="AA35" s="9"/>
      <c r="AB35" s="9"/>
      <c r="AC35" s="9"/>
      <c r="AD35" s="9"/>
    </row>
    <row r="36" spans="14:30" s="7" customFormat="1" x14ac:dyDescent="0.3">
      <c r="N36" s="29"/>
      <c r="O36" s="29"/>
      <c r="P36" s="29"/>
      <c r="Q36" s="32">
        <f>IF(Dados!B37="","",Dados!B37)</f>
        <v>8</v>
      </c>
      <c r="S36" s="32"/>
      <c r="T36" s="32"/>
      <c r="U36" s="31"/>
      <c r="X36" s="9"/>
      <c r="Y36" s="9"/>
      <c r="Z36" s="9"/>
      <c r="AA36" s="9"/>
      <c r="AB36" s="9"/>
      <c r="AC36" s="9"/>
      <c r="AD36" s="9"/>
    </row>
    <row r="37" spans="14:30" s="7" customFormat="1" x14ac:dyDescent="0.3">
      <c r="N37" s="29"/>
      <c r="O37" s="29"/>
      <c r="P37" s="29"/>
      <c r="Q37" s="32">
        <f>IF(Dados!B38="","",Dados!B38)</f>
        <v>9</v>
      </c>
      <c r="S37" s="32"/>
      <c r="T37" s="32"/>
      <c r="U37" s="31"/>
      <c r="X37" s="9"/>
      <c r="Y37" s="9"/>
      <c r="Z37" s="9"/>
      <c r="AA37" s="9"/>
      <c r="AB37" s="9"/>
      <c r="AC37" s="9"/>
      <c r="AD37" s="9"/>
    </row>
    <row r="38" spans="14:30" s="7" customFormat="1" x14ac:dyDescent="0.3">
      <c r="N38" s="29"/>
      <c r="O38" s="29"/>
      <c r="P38" s="29"/>
      <c r="Q38" s="32">
        <f>IF(Dados!B39="","",Dados!B39)</f>
        <v>10</v>
      </c>
      <c r="S38" s="32"/>
      <c r="T38" s="32"/>
      <c r="U38" s="31"/>
      <c r="X38" s="9"/>
      <c r="Y38" s="9"/>
      <c r="Z38" s="9"/>
      <c r="AA38" s="9"/>
      <c r="AB38" s="9"/>
      <c r="AC38" s="9"/>
      <c r="AD38" s="9"/>
    </row>
    <row r="39" spans="14:30" s="7" customFormat="1" x14ac:dyDescent="0.3">
      <c r="N39" s="29"/>
      <c r="O39" s="29"/>
      <c r="P39" s="29"/>
      <c r="Q39" s="32">
        <f>IF(Dados!B40="","",Dados!B40)</f>
        <v>9.5</v>
      </c>
      <c r="S39" s="32"/>
      <c r="T39" s="32"/>
      <c r="U39" s="31"/>
      <c r="X39" s="9"/>
      <c r="Y39" s="9"/>
      <c r="Z39" s="9"/>
      <c r="AA39" s="9"/>
      <c r="AB39" s="9"/>
      <c r="AC39" s="9"/>
      <c r="AD39" s="9"/>
    </row>
    <row r="40" spans="14:30" s="7" customFormat="1" x14ac:dyDescent="0.3">
      <c r="N40" s="29"/>
      <c r="O40" s="29"/>
      <c r="P40" s="29"/>
      <c r="Q40" s="32">
        <f>IF(Dados!B41="","",Dados!B41)</f>
        <v>9</v>
      </c>
      <c r="S40" s="32"/>
      <c r="T40" s="32"/>
      <c r="U40" s="31"/>
      <c r="X40" s="9"/>
      <c r="Y40" s="9"/>
      <c r="Z40" s="9"/>
      <c r="AA40" s="9"/>
      <c r="AB40" s="9"/>
      <c r="AC40" s="9"/>
      <c r="AD40" s="9"/>
    </row>
    <row r="41" spans="14:30" s="7" customFormat="1" x14ac:dyDescent="0.3">
      <c r="N41" s="29"/>
      <c r="O41" s="29"/>
      <c r="P41" s="29"/>
      <c r="Q41" s="32">
        <f>IF(Dados!B42="","",Dados!B42)</f>
        <v>9</v>
      </c>
      <c r="S41" s="32"/>
      <c r="T41" s="32"/>
      <c r="U41" s="31"/>
      <c r="X41" s="9"/>
      <c r="Y41" s="9"/>
      <c r="Z41" s="9"/>
      <c r="AA41" s="9"/>
      <c r="AB41" s="9"/>
      <c r="AC41" s="9"/>
      <c r="AD41" s="9"/>
    </row>
    <row r="42" spans="14:30" s="7" customFormat="1" x14ac:dyDescent="0.3">
      <c r="N42" s="29"/>
      <c r="O42" s="29"/>
      <c r="P42" s="29"/>
      <c r="Q42" s="32">
        <f>IF(Dados!B43="","",Dados!B43)</f>
        <v>10</v>
      </c>
      <c r="S42" s="32"/>
      <c r="T42" s="32"/>
      <c r="U42" s="31"/>
      <c r="X42" s="9"/>
      <c r="Y42" s="9"/>
      <c r="Z42" s="9"/>
      <c r="AA42" s="9"/>
      <c r="AB42" s="9"/>
      <c r="AC42" s="9"/>
      <c r="AD42" s="9"/>
    </row>
    <row r="43" spans="14:30" s="7" customFormat="1" x14ac:dyDescent="0.3">
      <c r="N43" s="29"/>
      <c r="O43" s="29"/>
      <c r="P43" s="29"/>
      <c r="Q43" s="32">
        <f>IF(Dados!B44="","",Dados!B44)</f>
        <v>8.5</v>
      </c>
      <c r="S43" s="32"/>
      <c r="T43" s="32"/>
      <c r="U43" s="31"/>
      <c r="X43" s="9"/>
      <c r="Y43" s="9"/>
      <c r="Z43" s="9"/>
      <c r="AA43" s="9"/>
      <c r="AB43" s="9"/>
      <c r="AC43" s="9"/>
      <c r="AD43" s="9"/>
    </row>
    <row r="44" spans="14:30" s="7" customFormat="1" x14ac:dyDescent="0.3">
      <c r="N44" s="29"/>
      <c r="O44" s="29"/>
      <c r="P44" s="29"/>
      <c r="Q44" s="32">
        <f>IF(Dados!B45="","",Dados!B45)</f>
        <v>11</v>
      </c>
      <c r="S44" s="32"/>
      <c r="T44" s="32"/>
      <c r="U44" s="31"/>
      <c r="X44" s="9"/>
      <c r="Y44" s="9"/>
      <c r="Z44" s="9"/>
      <c r="AA44" s="9"/>
      <c r="AB44" s="9"/>
      <c r="AC44" s="9"/>
      <c r="AD44" s="9"/>
    </row>
    <row r="45" spans="14:30" s="7" customFormat="1" x14ac:dyDescent="0.3">
      <c r="N45" s="29"/>
      <c r="O45" s="29"/>
      <c r="P45" s="29"/>
      <c r="Q45" s="32">
        <f>IF(Dados!B46="","",Dados!B46)</f>
        <v>13</v>
      </c>
      <c r="S45" s="32"/>
      <c r="T45" s="32"/>
      <c r="U45" s="31"/>
      <c r="X45" s="9"/>
      <c r="Y45" s="9"/>
      <c r="Z45" s="9"/>
      <c r="AA45" s="9"/>
      <c r="AB45" s="9"/>
      <c r="AC45" s="9"/>
      <c r="AD45" s="9"/>
    </row>
    <row r="46" spans="14:30" s="7" customFormat="1" x14ac:dyDescent="0.3">
      <c r="N46" s="29"/>
      <c r="O46" s="29"/>
      <c r="P46" s="29"/>
      <c r="Q46" s="32">
        <f>IF(Dados!B47="","",Dados!B47)</f>
        <v>7</v>
      </c>
      <c r="S46" s="32"/>
      <c r="T46" s="32"/>
      <c r="U46" s="31"/>
      <c r="X46" s="9"/>
      <c r="Y46" s="9"/>
      <c r="Z46" s="9"/>
      <c r="AA46" s="9"/>
      <c r="AB46" s="9"/>
      <c r="AC46" s="9"/>
      <c r="AD46" s="9"/>
    </row>
    <row r="47" spans="14:30" s="7" customFormat="1" x14ac:dyDescent="0.3">
      <c r="N47" s="29"/>
      <c r="O47" s="29"/>
      <c r="P47" s="29"/>
      <c r="Q47" s="32">
        <f>IF(Dados!B48="","",Dados!B48)</f>
        <v>7</v>
      </c>
      <c r="S47" s="32"/>
      <c r="T47" s="32"/>
      <c r="U47" s="31"/>
      <c r="X47" s="9"/>
      <c r="Y47" s="9"/>
      <c r="Z47" s="9"/>
      <c r="AA47" s="9"/>
      <c r="AB47" s="9"/>
      <c r="AC47" s="9"/>
      <c r="AD47" s="9"/>
    </row>
    <row r="48" spans="14:30" s="7" customFormat="1" x14ac:dyDescent="0.3">
      <c r="N48" s="29"/>
      <c r="O48" s="29"/>
      <c r="P48" s="29"/>
      <c r="Q48" s="32">
        <f>IF(Dados!B49="","",Dados!B49)</f>
        <v>7</v>
      </c>
      <c r="S48" s="32"/>
      <c r="T48" s="32"/>
      <c r="U48" s="31"/>
      <c r="X48" s="9"/>
      <c r="Y48" s="9"/>
      <c r="Z48" s="9"/>
      <c r="AA48" s="9"/>
      <c r="AB48" s="9"/>
      <c r="AC48" s="9"/>
      <c r="AD48" s="9"/>
    </row>
    <row r="49" spans="14:30" s="7" customFormat="1" x14ac:dyDescent="0.3">
      <c r="N49" s="29"/>
      <c r="O49" s="29"/>
      <c r="P49" s="29"/>
      <c r="Q49" s="32">
        <f>IF(Dados!B50="","",Dados!B50)</f>
        <v>7.5</v>
      </c>
      <c r="S49" s="32"/>
      <c r="T49" s="32"/>
      <c r="U49" s="31"/>
      <c r="X49" s="9"/>
      <c r="Y49" s="9"/>
      <c r="Z49" s="9"/>
      <c r="AA49" s="9"/>
      <c r="AB49" s="9"/>
      <c r="AC49" s="9"/>
      <c r="AD49" s="9"/>
    </row>
    <row r="50" spans="14:30" s="7" customFormat="1" x14ac:dyDescent="0.3">
      <c r="N50" s="29"/>
      <c r="O50" s="29"/>
      <c r="P50" s="29"/>
      <c r="Q50" s="32">
        <f>IF(Dados!B51="","",Dados!B51)</f>
        <v>7</v>
      </c>
      <c r="S50" s="32"/>
      <c r="T50" s="32"/>
      <c r="U50" s="31"/>
      <c r="X50" s="9"/>
      <c r="Y50" s="9"/>
      <c r="Z50" s="9"/>
      <c r="AA50" s="9"/>
      <c r="AB50" s="9"/>
      <c r="AC50" s="9"/>
      <c r="AD50" s="9"/>
    </row>
    <row r="51" spans="14:30" s="7" customFormat="1" x14ac:dyDescent="0.3">
      <c r="N51" s="29"/>
      <c r="O51" s="29"/>
      <c r="P51" s="29"/>
      <c r="Q51" s="32">
        <f>IF(Dados!B52="","",Dados!B52)</f>
        <v>7</v>
      </c>
      <c r="S51" s="32"/>
      <c r="T51" s="32"/>
      <c r="U51" s="31"/>
      <c r="X51" s="9"/>
      <c r="Y51" s="9"/>
      <c r="Z51" s="9"/>
      <c r="AA51" s="9"/>
      <c r="AB51" s="9"/>
      <c r="AC51" s="9"/>
      <c r="AD51" s="9"/>
    </row>
    <row r="52" spans="14:30" s="7" customFormat="1" x14ac:dyDescent="0.3">
      <c r="N52" s="29"/>
      <c r="O52" s="29"/>
      <c r="P52" s="29"/>
      <c r="Q52" s="32">
        <f>IF(Dados!B53="","",Dados!B53)</f>
        <v>7</v>
      </c>
      <c r="S52" s="32"/>
      <c r="T52" s="32"/>
      <c r="U52" s="31"/>
      <c r="X52" s="9"/>
      <c r="Y52" s="9"/>
      <c r="Z52" s="9"/>
      <c r="AA52" s="9"/>
      <c r="AB52" s="9"/>
      <c r="AC52" s="9"/>
      <c r="AD52" s="9"/>
    </row>
    <row r="53" spans="14:30" x14ac:dyDescent="0.3">
      <c r="Q53" s="32">
        <f>IF(Dados!B54="","",Dados!B54)</f>
        <v>7</v>
      </c>
    </row>
    <row r="54" spans="14:30" x14ac:dyDescent="0.3">
      <c r="Q54" s="32">
        <f>IF(Dados!B55="","",Dados!B55)</f>
        <v>5</v>
      </c>
    </row>
    <row r="55" spans="14:30" x14ac:dyDescent="0.3">
      <c r="Q55" s="32">
        <f>IF(Dados!B56="","",Dados!B56)</f>
        <v>5.5</v>
      </c>
    </row>
    <row r="56" spans="14:30" x14ac:dyDescent="0.3">
      <c r="Q56" s="32">
        <f>IF(Dados!B57="","",Dados!B57)</f>
        <v>6</v>
      </c>
    </row>
    <row r="57" spans="14:30" x14ac:dyDescent="0.3">
      <c r="Q57" s="32">
        <f>IF(Dados!B58="","",Dados!B58)</f>
        <v>5</v>
      </c>
    </row>
    <row r="58" spans="14:30" x14ac:dyDescent="0.3">
      <c r="Q58" s="32">
        <f>IF(Dados!B59="","",Dados!B59)</f>
        <v>8</v>
      </c>
    </row>
    <row r="59" spans="14:30" x14ac:dyDescent="0.3">
      <c r="Q59" s="32">
        <f>IF(Dados!B60="","",Dados!B60)</f>
        <v>10</v>
      </c>
    </row>
    <row r="60" spans="14:30" x14ac:dyDescent="0.3">
      <c r="Q60" s="32">
        <f>IF(Dados!B61="","",Dados!B61)</f>
        <v>8</v>
      </c>
    </row>
    <row r="61" spans="14:30" x14ac:dyDescent="0.3">
      <c r="Q61" s="32">
        <f>IF(Dados!B62="","",Dados!B62)</f>
        <v>9</v>
      </c>
    </row>
    <row r="62" spans="14:30" x14ac:dyDescent="0.3">
      <c r="Q62" s="32">
        <f>IF(Dados!B63="","",Dados!B63)</f>
        <v>9</v>
      </c>
    </row>
    <row r="63" spans="14:30" x14ac:dyDescent="0.3">
      <c r="Q63" s="32">
        <f>IF(Dados!B64="","",Dados!B64)</f>
        <v>8.5</v>
      </c>
    </row>
    <row r="64" spans="14:30" x14ac:dyDescent="0.3">
      <c r="Q64" s="32">
        <f>IF(Dados!B65="","",Dados!B65)</f>
        <v>9</v>
      </c>
    </row>
    <row r="65" spans="17:17" x14ac:dyDescent="0.3">
      <c r="Q65" s="32">
        <f>IF(Dados!B66="","",Dados!B66)</f>
        <v>8</v>
      </c>
    </row>
    <row r="66" spans="17:17" x14ac:dyDescent="0.3">
      <c r="Q66" s="32">
        <f>IF(Dados!B67="","",Dados!B67)</f>
        <v>10</v>
      </c>
    </row>
    <row r="67" spans="17:17" x14ac:dyDescent="0.3">
      <c r="Q67" s="32">
        <f>IF(Dados!B68="","",Dados!B68)</f>
        <v>7.5</v>
      </c>
    </row>
    <row r="68" spans="17:17" x14ac:dyDescent="0.3">
      <c r="Q68" s="32">
        <f>IF(Dados!B69="","",Dados!B69)</f>
        <v>7.5</v>
      </c>
    </row>
    <row r="69" spans="17:17" x14ac:dyDescent="0.3">
      <c r="Q69" s="32">
        <f>IF(Dados!B70="","",Dados!B70)</f>
        <v>7</v>
      </c>
    </row>
    <row r="70" spans="17:17" x14ac:dyDescent="0.3">
      <c r="Q70" s="32">
        <f>IF(Dados!B71="","",Dados!B71)</f>
        <v>7</v>
      </c>
    </row>
    <row r="71" spans="17:17" x14ac:dyDescent="0.3">
      <c r="Q71" s="32">
        <f>IF(Dados!B72="","",Dados!B72)</f>
        <v>7.5</v>
      </c>
    </row>
    <row r="72" spans="17:17" x14ac:dyDescent="0.3">
      <c r="Q72" s="32">
        <f>IF(Dados!B73="","",Dados!B73)</f>
        <v>7</v>
      </c>
    </row>
    <row r="73" spans="17:17" x14ac:dyDescent="0.3">
      <c r="Q73" s="32">
        <f>IF(Dados!B74="","",Dados!B74)</f>
        <v>4.5</v>
      </c>
    </row>
    <row r="74" spans="17:17" x14ac:dyDescent="0.3">
      <c r="Q74" s="32">
        <f>IF(Dados!B75="","",Dados!B75)</f>
        <v>5</v>
      </c>
    </row>
    <row r="75" spans="17:17" x14ac:dyDescent="0.3">
      <c r="Q75" s="32">
        <f>IF(Dados!B76="","",Dados!B76)</f>
        <v>5.5</v>
      </c>
    </row>
    <row r="76" spans="17:17" x14ac:dyDescent="0.3">
      <c r="Q76" s="32">
        <f>IF(Dados!B77="","",Dados!B77)</f>
        <v>6</v>
      </c>
    </row>
    <row r="77" spans="17:17" x14ac:dyDescent="0.3">
      <c r="Q77" s="32">
        <f>IF(Dados!B78="","",Dados!B78)</f>
        <v>6.5</v>
      </c>
    </row>
    <row r="78" spans="17:17" x14ac:dyDescent="0.3">
      <c r="Q78" s="32">
        <f>IF(Dados!B79="","",Dados!B79)</f>
        <v>5</v>
      </c>
    </row>
    <row r="79" spans="17:17" x14ac:dyDescent="0.3">
      <c r="Q79" s="32">
        <f>IF(Dados!B80="","",Dados!B80)</f>
        <v>4.5</v>
      </c>
    </row>
    <row r="80" spans="17:17" x14ac:dyDescent="0.3">
      <c r="Q80" s="32">
        <f>IF(Dados!B81="","",Dados!B81)</f>
        <v>3</v>
      </c>
    </row>
    <row r="81" spans="17:17" x14ac:dyDescent="0.3">
      <c r="Q81" s="32">
        <f>IF(Dados!B82="","",Dados!B82)</f>
        <v>4.2</v>
      </c>
    </row>
    <row r="82" spans="17:17" x14ac:dyDescent="0.3">
      <c r="Q82" s="32">
        <f>IF(Dados!B83="","",Dados!B83)</f>
        <v>8</v>
      </c>
    </row>
    <row r="83" spans="17:17" x14ac:dyDescent="0.3">
      <c r="Q83" s="32">
        <f>IF(Dados!B84="","",Dados!B84)</f>
        <v>8.5</v>
      </c>
    </row>
    <row r="84" spans="17:17" x14ac:dyDescent="0.3">
      <c r="Q84" s="32">
        <f>IF(Dados!B85="","",Dados!B85)</f>
        <v>8</v>
      </c>
    </row>
    <row r="85" spans="17:17" x14ac:dyDescent="0.3">
      <c r="Q85" s="32">
        <f>IF(Dados!B86="","",Dados!B86)</f>
        <v>8</v>
      </c>
    </row>
    <row r="86" spans="17:17" x14ac:dyDescent="0.3">
      <c r="Q86" s="32">
        <f>IF(Dados!B87="","",Dados!B87)</f>
        <v>8</v>
      </c>
    </row>
    <row r="87" spans="17:17" x14ac:dyDescent="0.3">
      <c r="Q87" s="32">
        <f>IF(Dados!B88="","",Dados!B88)</f>
        <v>8</v>
      </c>
    </row>
    <row r="88" spans="17:17" x14ac:dyDescent="0.3">
      <c r="Q88" s="32">
        <f>IF(Dados!B89="","",Dados!B89)</f>
        <v>10</v>
      </c>
    </row>
    <row r="89" spans="17:17" x14ac:dyDescent="0.3">
      <c r="Q89" s="32">
        <f>IF(Dados!B90="","",Dados!B90)</f>
        <v>12</v>
      </c>
    </row>
    <row r="90" spans="17:17" x14ac:dyDescent="0.3">
      <c r="Q90" s="32">
        <f>IF(Dados!B91="","",Dados!B91)</f>
        <v>11</v>
      </c>
    </row>
    <row r="91" spans="17:17" x14ac:dyDescent="0.3">
      <c r="Q91" s="32">
        <f>IF(Dados!B92="","",Dados!B92)</f>
        <v>7.5</v>
      </c>
    </row>
    <row r="92" spans="17:17" x14ac:dyDescent="0.3">
      <c r="Q92" s="32">
        <f>IF(Dados!B93="","",Dados!B93)</f>
        <v>7.5</v>
      </c>
    </row>
    <row r="93" spans="17:17" x14ac:dyDescent="0.3">
      <c r="Q93" s="32">
        <f>IF(Dados!B94="","",Dados!B94)</f>
        <v>7</v>
      </c>
    </row>
    <row r="94" spans="17:17" x14ac:dyDescent="0.3">
      <c r="Q94" s="32">
        <f>IF(Dados!B95="","",Dados!B95)</f>
        <v>7</v>
      </c>
    </row>
    <row r="95" spans="17:17" x14ac:dyDescent="0.3">
      <c r="Q95" s="32">
        <f>IF(Dados!B96="","",Dados!B96)</f>
        <v>7</v>
      </c>
    </row>
    <row r="96" spans="17:17" x14ac:dyDescent="0.3">
      <c r="Q96" s="32">
        <f>IF(Dados!B97="","",Dados!B97)</f>
        <v>7</v>
      </c>
    </row>
    <row r="97" spans="17:17" x14ac:dyDescent="0.3">
      <c r="Q97" s="32">
        <f>IF(Dados!B98="","",Dados!B98)</f>
        <v>6.5</v>
      </c>
    </row>
    <row r="98" spans="17:17" x14ac:dyDescent="0.3">
      <c r="Q98" s="32">
        <f>IF(Dados!B99="","",Dados!B99)</f>
        <v>6.5</v>
      </c>
    </row>
    <row r="99" spans="17:17" x14ac:dyDescent="0.3">
      <c r="Q99" s="32">
        <f>IF(Dados!B100="","",Dados!B100)</f>
        <v>6</v>
      </c>
    </row>
    <row r="100" spans="17:17" x14ac:dyDescent="0.3">
      <c r="Q100" s="32">
        <f>IF(Dados!B101="","",Dados!B101)</f>
        <v>6.5</v>
      </c>
    </row>
    <row r="101" spans="17:17" x14ac:dyDescent="0.3">
      <c r="Q101" s="32">
        <f>IF(Dados!B102="","",Dados!B102)</f>
        <v>5.5</v>
      </c>
    </row>
    <row r="102" spans="17:17" x14ac:dyDescent="0.3">
      <c r="Q102" s="32">
        <f>IF(Dados!B103="","",Dados!B103)</f>
        <v>6</v>
      </c>
    </row>
    <row r="103" spans="17:17" x14ac:dyDescent="0.3">
      <c r="Q103" s="32">
        <f>IF(Dados!B104="","",Dados!B104)</f>
        <v>6</v>
      </c>
    </row>
    <row r="104" spans="17:17" x14ac:dyDescent="0.3">
      <c r="Q104" s="32">
        <f>IF(Dados!B105="","",Dados!B105)</f>
        <v>6</v>
      </c>
    </row>
    <row r="105" spans="17:17" x14ac:dyDescent="0.3">
      <c r="Q105" s="32">
        <f>IF(Dados!B106="","",Dados!B106)</f>
        <v>6.5</v>
      </c>
    </row>
    <row r="106" spans="17:17" x14ac:dyDescent="0.3">
      <c r="Q106" s="32">
        <f>IF(Dados!B107="","",Dados!B107)</f>
        <v>5</v>
      </c>
    </row>
    <row r="107" spans="17:17" x14ac:dyDescent="0.3">
      <c r="Q107" s="32">
        <f>IF(Dados!B108="","",Dados!B108)</f>
        <v>4</v>
      </c>
    </row>
    <row r="108" spans="17:17" x14ac:dyDescent="0.3">
      <c r="Q108" s="32">
        <f>IF(Dados!B109="","",Dados!B109)</f>
        <v>8</v>
      </c>
    </row>
    <row r="109" spans="17:17" x14ac:dyDescent="0.3">
      <c r="Q109" s="32">
        <f>IF(Dados!B110="","",Dados!B110)</f>
        <v>8</v>
      </c>
    </row>
    <row r="110" spans="17:17" x14ac:dyDescent="0.3">
      <c r="Q110" s="32">
        <f>IF(Dados!B111="","",Dados!B111)</f>
        <v>8</v>
      </c>
    </row>
    <row r="111" spans="17:17" x14ac:dyDescent="0.3">
      <c r="Q111" s="32">
        <f>IF(Dados!B112="","",Dados!B112)</f>
        <v>8</v>
      </c>
    </row>
    <row r="112" spans="17:17" x14ac:dyDescent="0.3">
      <c r="Q112" s="32">
        <f>IF(Dados!B113="","",Dados!B113)</f>
        <v>10</v>
      </c>
    </row>
    <row r="113" spans="17:17" x14ac:dyDescent="0.3">
      <c r="Q113" s="32">
        <f>IF(Dados!B114="","",Dados!B114)</f>
        <v>10</v>
      </c>
    </row>
    <row r="114" spans="17:17" x14ac:dyDescent="0.3">
      <c r="Q114" s="32">
        <f>IF(Dados!B115="","",Dados!B115)</f>
        <v>9</v>
      </c>
    </row>
    <row r="115" spans="17:17" x14ac:dyDescent="0.3">
      <c r="Q115" s="32">
        <f>IF(Dados!B116="","",Dados!B116)</f>
        <v>10</v>
      </c>
    </row>
    <row r="116" spans="17:17" x14ac:dyDescent="0.3">
      <c r="Q116" s="32">
        <f>IF(Dados!B117="","",Dados!B117)</f>
        <v>10</v>
      </c>
    </row>
    <row r="117" spans="17:17" x14ac:dyDescent="0.3">
      <c r="Q117" s="32">
        <f>IF(Dados!B118="","",Dados!B118)</f>
        <v>8</v>
      </c>
    </row>
    <row r="118" spans="17:17" x14ac:dyDescent="0.3">
      <c r="Q118" s="32">
        <f>IF(Dados!B119="","",Dados!B119)</f>
        <v>7</v>
      </c>
    </row>
    <row r="119" spans="17:17" x14ac:dyDescent="0.3">
      <c r="Q119" s="32">
        <f>IF(Dados!B120="","",Dados!B120)</f>
        <v>7.5</v>
      </c>
    </row>
    <row r="120" spans="17:17" x14ac:dyDescent="0.3">
      <c r="Q120" s="32">
        <f>IF(Dados!B121="","",Dados!B121)</f>
        <v>7</v>
      </c>
    </row>
    <row r="121" spans="17:17" x14ac:dyDescent="0.3">
      <c r="Q121" s="32">
        <f>IF(Dados!B122="","",Dados!B122)</f>
        <v>7</v>
      </c>
    </row>
    <row r="122" spans="17:17" x14ac:dyDescent="0.3">
      <c r="Q122" s="32">
        <f>IF(Dados!B123="","",Dados!B123)</f>
        <v>7.5</v>
      </c>
    </row>
    <row r="123" spans="17:17" x14ac:dyDescent="0.3">
      <c r="Q123" s="32">
        <f>IF(Dados!B124="","",Dados!B124)</f>
        <v>7</v>
      </c>
    </row>
    <row r="124" spans="17:17" x14ac:dyDescent="0.3">
      <c r="Q124" s="32">
        <f>IF(Dados!B125="","",Dados!B125)</f>
        <v>7</v>
      </c>
    </row>
    <row r="125" spans="17:17" x14ac:dyDescent="0.3">
      <c r="Q125" s="32">
        <f>IF(Dados!B126="","",Dados!B126)</f>
        <v>5</v>
      </c>
    </row>
    <row r="126" spans="17:17" x14ac:dyDescent="0.3">
      <c r="Q126" s="32">
        <f>IF(Dados!B127="","",Dados!B127)</f>
        <v>5</v>
      </c>
    </row>
    <row r="127" spans="17:17" x14ac:dyDescent="0.3">
      <c r="Q127" s="32">
        <f>IF(Dados!B128="","",Dados!B128)</f>
        <v>5.5</v>
      </c>
    </row>
    <row r="128" spans="17:17" x14ac:dyDescent="0.3">
      <c r="Q128" s="32">
        <f>IF(Dados!B129="","",Dados!B129)</f>
        <v>5</v>
      </c>
    </row>
    <row r="129" spans="17:17" x14ac:dyDescent="0.3">
      <c r="Q129" s="32">
        <f>IF(Dados!B130="","",Dados!B130)</f>
        <v>6</v>
      </c>
    </row>
    <row r="130" spans="17:17" x14ac:dyDescent="0.3">
      <c r="Q130" s="32">
        <f>IF(Dados!B131="","",Dados!B131)</f>
        <v>6</v>
      </c>
    </row>
    <row r="131" spans="17:17" x14ac:dyDescent="0.3">
      <c r="Q131" s="32">
        <f>IF(Dados!B132="","",Dados!B132)</f>
        <v>5</v>
      </c>
    </row>
    <row r="132" spans="17:17" x14ac:dyDescent="0.3">
      <c r="Q132" s="32">
        <f>IF(Dados!B133="","",Dados!B133)</f>
        <v>5</v>
      </c>
    </row>
    <row r="133" spans="17:17" x14ac:dyDescent="0.3">
      <c r="Q133" s="32">
        <f>IF(Dados!B134="","",Dados!B134)</f>
        <v>5</v>
      </c>
    </row>
    <row r="134" spans="17:17" x14ac:dyDescent="0.3">
      <c r="Q134" s="32">
        <f>IF(Dados!B135="","",Dados!B135)</f>
        <v>4</v>
      </c>
    </row>
    <row r="135" spans="17:17" x14ac:dyDescent="0.3">
      <c r="Q135" s="32">
        <f>IF(Dados!B136="","",Dados!B136)</f>
        <v>5</v>
      </c>
    </row>
    <row r="136" spans="17:17" x14ac:dyDescent="0.3">
      <c r="Q136" s="32">
        <f>IF(Dados!B137="","",Dados!B137)</f>
        <v>5</v>
      </c>
    </row>
    <row r="137" spans="17:17" x14ac:dyDescent="0.3">
      <c r="Q137" s="32">
        <f>IF(Dados!B138="","",Dados!B138)</f>
        <v>8.5</v>
      </c>
    </row>
    <row r="138" spans="17:17" x14ac:dyDescent="0.3">
      <c r="Q138" s="32">
        <f>IF(Dados!B139="","",Dados!B139)</f>
        <v>8</v>
      </c>
    </row>
    <row r="139" spans="17:17" x14ac:dyDescent="0.3">
      <c r="Q139" s="32">
        <f>IF(Dados!B140="","",Dados!B140)</f>
        <v>9</v>
      </c>
    </row>
    <row r="140" spans="17:17" x14ac:dyDescent="0.3">
      <c r="Q140" s="32">
        <f>IF(Dados!B141="","",Dados!B141)</f>
        <v>8</v>
      </c>
    </row>
    <row r="141" spans="17:17" x14ac:dyDescent="0.3">
      <c r="Q141" s="32">
        <f>IF(Dados!B142="","",Dados!B142)</f>
        <v>9</v>
      </c>
    </row>
    <row r="142" spans="17:17" x14ac:dyDescent="0.3">
      <c r="Q142" s="32">
        <f>IF(Dados!B143="","",Dados!B143)</f>
        <v>9</v>
      </c>
    </row>
    <row r="143" spans="17:17" x14ac:dyDescent="0.3">
      <c r="Q143" s="32">
        <f>IF(Dados!B144="","",Dados!B144)</f>
        <v>8.5</v>
      </c>
    </row>
    <row r="144" spans="17:17" x14ac:dyDescent="0.3">
      <c r="Q144" s="32">
        <f>IF(Dados!B145="","",Dados!B145)</f>
        <v>9</v>
      </c>
    </row>
    <row r="145" spans="17:17" x14ac:dyDescent="0.3">
      <c r="Q145" s="32">
        <f>IF(Dados!B146="","",Dados!B146)</f>
        <v>8.5</v>
      </c>
    </row>
    <row r="146" spans="17:17" x14ac:dyDescent="0.3">
      <c r="Q146" s="32">
        <f>IF(Dados!B147="","",Dados!B147)</f>
        <v>10</v>
      </c>
    </row>
    <row r="147" spans="17:17" x14ac:dyDescent="0.3">
      <c r="Q147" s="32">
        <f>IF(Dados!B148="","",Dados!B148)</f>
        <v>9</v>
      </c>
    </row>
    <row r="148" spans="17:17" x14ac:dyDescent="0.3">
      <c r="Q148" s="32">
        <f>IF(Dados!B149="","",Dados!B149)</f>
        <v>7</v>
      </c>
    </row>
    <row r="149" spans="17:17" x14ac:dyDescent="0.3">
      <c r="Q149" s="32">
        <f>IF(Dados!B150="","",Dados!B150)</f>
        <v>4.3</v>
      </c>
    </row>
    <row r="150" spans="17:17" x14ac:dyDescent="0.3">
      <c r="Q150" s="32">
        <f>IF(Dados!B151="","",Dados!B151)</f>
        <v>10</v>
      </c>
    </row>
    <row r="151" spans="17:17" x14ac:dyDescent="0.3">
      <c r="Q151" s="32">
        <f>IF(Dados!B152="","",Dados!B152)</f>
        <v>10.5</v>
      </c>
    </row>
    <row r="152" spans="17:17" x14ac:dyDescent="0.3">
      <c r="Q152" s="32">
        <f>IF(Dados!B153="","",Dados!B153)</f>
        <v>10</v>
      </c>
    </row>
    <row r="153" spans="17:17" x14ac:dyDescent="0.3">
      <c r="Q153" s="32">
        <f>IF(Dados!B154="","",Dados!B154)</f>
        <v>9.5</v>
      </c>
    </row>
    <row r="154" spans="17:17" x14ac:dyDescent="0.3">
      <c r="Q154" s="32">
        <f>IF(Dados!B155="","",Dados!B155)</f>
        <v>11</v>
      </c>
    </row>
    <row r="155" spans="17:17" x14ac:dyDescent="0.3">
      <c r="Q155" s="32">
        <f>IF(Dados!B156="","",Dados!B156)</f>
        <v>7.5</v>
      </c>
    </row>
    <row r="156" spans="17:17" x14ac:dyDescent="0.3">
      <c r="Q156" s="32">
        <f>IF(Dados!B157="","",Dados!B157)</f>
        <v>6</v>
      </c>
    </row>
    <row r="157" spans="17:17" x14ac:dyDescent="0.3">
      <c r="Q157" s="32">
        <f>IF(Dados!B158="","",Dados!B158)</f>
        <v>6</v>
      </c>
    </row>
    <row r="158" spans="17:17" x14ac:dyDescent="0.3">
      <c r="Q158" s="32">
        <f>IF(Dados!B159="","",Dados!B159)</f>
        <v>1.5</v>
      </c>
    </row>
    <row r="159" spans="17:17" x14ac:dyDescent="0.3">
      <c r="Q159" s="32">
        <f>IF(Dados!B160="","",Dados!B160)</f>
        <v>3.5</v>
      </c>
    </row>
    <row r="160" spans="17:17" x14ac:dyDescent="0.3">
      <c r="Q160" s="32">
        <f>IF(Dados!B161="","",Dados!B161)</f>
        <v>6</v>
      </c>
    </row>
    <row r="161" spans="17:17" x14ac:dyDescent="0.3">
      <c r="Q161" s="32">
        <f>IF(Dados!B162="","",Dados!B162)</f>
        <v>4.5</v>
      </c>
    </row>
    <row r="162" spans="17:17" x14ac:dyDescent="0.3">
      <c r="Q162" s="32">
        <f>IF(Dados!B163="","",Dados!B163)</f>
        <v>5</v>
      </c>
    </row>
    <row r="163" spans="17:17" x14ac:dyDescent="0.3">
      <c r="Q163" s="32">
        <f>IF(Dados!B164="","",Dados!B164)</f>
        <v>5.5</v>
      </c>
    </row>
    <row r="164" spans="17:17" x14ac:dyDescent="0.3">
      <c r="Q164" s="32">
        <f>IF(Dados!B165="","",Dados!B165)</f>
        <v>9</v>
      </c>
    </row>
    <row r="165" spans="17:17" x14ac:dyDescent="0.3">
      <c r="Q165" s="32">
        <f>IF(Dados!B166="","",Dados!B166)</f>
        <v>9</v>
      </c>
    </row>
    <row r="166" spans="17:17" x14ac:dyDescent="0.3">
      <c r="Q166" s="32">
        <f>IF(Dados!B167="","",Dados!B167)</f>
        <v>9</v>
      </c>
    </row>
    <row r="167" spans="17:17" x14ac:dyDescent="0.3">
      <c r="Q167" s="32">
        <f>IF(Dados!B168="","",Dados!B168)</f>
        <v>10</v>
      </c>
    </row>
    <row r="168" spans="17:17" x14ac:dyDescent="0.3">
      <c r="Q168" s="32">
        <f>IF(Dados!B169="","",Dados!B169)</f>
        <v>9</v>
      </c>
    </row>
    <row r="169" spans="17:17" x14ac:dyDescent="0.3">
      <c r="Q169" s="32">
        <f>IF(Dados!B170="","",Dados!B170)</f>
        <v>8</v>
      </c>
    </row>
    <row r="170" spans="17:17" x14ac:dyDescent="0.3">
      <c r="Q170" s="32">
        <f>IF(Dados!B171="","",Dados!B171)</f>
        <v>9</v>
      </c>
    </row>
    <row r="171" spans="17:17" x14ac:dyDescent="0.3">
      <c r="Q171" s="32">
        <f>IF(Dados!B172="","",Dados!B172)</f>
        <v>8</v>
      </c>
    </row>
    <row r="172" spans="17:17" x14ac:dyDescent="0.3">
      <c r="Q172" s="32">
        <f>IF(Dados!B173="","",Dados!B173)</f>
        <v>1.8</v>
      </c>
    </row>
    <row r="173" spans="17:17" x14ac:dyDescent="0.3">
      <c r="Q173" s="32">
        <f>IF(Dados!B174="","",Dados!B174)</f>
        <v>2.5</v>
      </c>
    </row>
    <row r="174" spans="17:17" x14ac:dyDescent="0.3">
      <c r="Q174" s="32">
        <f>IF(Dados!B175="","",Dados!B175)</f>
        <v>2.5</v>
      </c>
    </row>
    <row r="175" spans="17:17" x14ac:dyDescent="0.3">
      <c r="Q175" s="32">
        <f>IF(Dados!B176="","",Dados!B176)</f>
        <v>2</v>
      </c>
    </row>
    <row r="176" spans="17:17" x14ac:dyDescent="0.3">
      <c r="Q176" s="32">
        <f>IF(Dados!B177="","",Dados!B177)</f>
        <v>2.2999999999999998</v>
      </c>
    </row>
    <row r="177" spans="17:17" x14ac:dyDescent="0.3">
      <c r="Q177" s="32">
        <f>IF(Dados!B178="","",Dados!B178)</f>
        <v>2.2999999999999998</v>
      </c>
    </row>
    <row r="178" spans="17:17" x14ac:dyDescent="0.3">
      <c r="Q178" s="32">
        <f>IF(Dados!B179="","",Dados!B179)</f>
        <v>5</v>
      </c>
    </row>
    <row r="179" spans="17:17" x14ac:dyDescent="0.3">
      <c r="Q179" s="32">
        <f>IF(Dados!B180="","",Dados!B180)</f>
        <v>6.5</v>
      </c>
    </row>
    <row r="180" spans="17:17" x14ac:dyDescent="0.3">
      <c r="Q180" s="32">
        <f>IF(Dados!B181="","",Dados!B181)</f>
        <v>5.5</v>
      </c>
    </row>
    <row r="181" spans="17:17" x14ac:dyDescent="0.3">
      <c r="Q181" s="32">
        <f>IF(Dados!B182="","",Dados!B182)</f>
        <v>10</v>
      </c>
    </row>
    <row r="182" spans="17:17" x14ac:dyDescent="0.3">
      <c r="Q182" s="32">
        <f>IF(Dados!B183="","",Dados!B183)</f>
        <v>9</v>
      </c>
    </row>
    <row r="183" spans="17:17" x14ac:dyDescent="0.3">
      <c r="Q183" s="32">
        <f>IF(Dados!B184="","",Dados!B184)</f>
        <v>9</v>
      </c>
    </row>
    <row r="184" spans="17:17" x14ac:dyDescent="0.3">
      <c r="Q184" s="32">
        <f>IF(Dados!B185="","",Dados!B185)</f>
        <v>10</v>
      </c>
    </row>
    <row r="185" spans="17:17" x14ac:dyDescent="0.3">
      <c r="Q185" s="32">
        <f>IF(Dados!B186="","",Dados!B186)</f>
        <v>9.5</v>
      </c>
    </row>
    <row r="186" spans="17:17" x14ac:dyDescent="0.3">
      <c r="Q186" s="32">
        <f>IF(Dados!B187="","",Dados!B187)</f>
        <v>10</v>
      </c>
    </row>
    <row r="187" spans="17:17" x14ac:dyDescent="0.3">
      <c r="Q187" s="32">
        <f>IF(Dados!B188="","",Dados!B188)</f>
        <v>8</v>
      </c>
    </row>
    <row r="188" spans="17:17" x14ac:dyDescent="0.3">
      <c r="Q188" s="32">
        <f>IF(Dados!B189="","",Dados!B189)</f>
        <v>10</v>
      </c>
    </row>
    <row r="189" spans="17:17" x14ac:dyDescent="0.3">
      <c r="Q189" s="32">
        <f>IF(Dados!B190="","",Dados!B190)</f>
        <v>8</v>
      </c>
    </row>
    <row r="190" spans="17:17" x14ac:dyDescent="0.3">
      <c r="Q190" s="32">
        <f>IF(Dados!B191="","",Dados!B191)</f>
        <v>11</v>
      </c>
    </row>
    <row r="191" spans="17:17" x14ac:dyDescent="0.3">
      <c r="Q191" s="32">
        <f>IF(Dados!B192="","",Dados!B192)</f>
        <v>11</v>
      </c>
    </row>
    <row r="192" spans="17:17" x14ac:dyDescent="0.3">
      <c r="Q192" s="32">
        <f>IF(Dados!B193="","",Dados!B193)</f>
        <v>12</v>
      </c>
    </row>
    <row r="193" spans="17:17" x14ac:dyDescent="0.3">
      <c r="Q193" s="32">
        <f>IF(Dados!B194="","",Dados!B194)</f>
        <v>12</v>
      </c>
    </row>
    <row r="194" spans="17:17" x14ac:dyDescent="0.3">
      <c r="Q194" s="32">
        <f>IF(Dados!B195="","",Dados!B195)</f>
        <v>7</v>
      </c>
    </row>
    <row r="195" spans="17:17" x14ac:dyDescent="0.3">
      <c r="Q195" s="32">
        <f>IF(Dados!B196="","",Dados!B196)</f>
        <v>6</v>
      </c>
    </row>
    <row r="196" spans="17:17" x14ac:dyDescent="0.3">
      <c r="Q196" s="32">
        <f>IF(Dados!B197="","",Dados!B197)</f>
        <v>2.2999999999999998</v>
      </c>
    </row>
    <row r="197" spans="17:17" x14ac:dyDescent="0.3">
      <c r="Q197" s="32">
        <f>IF(Dados!B198="","",Dados!B198)</f>
        <v>2.2999999999999998</v>
      </c>
    </row>
    <row r="198" spans="17:17" x14ac:dyDescent="0.3">
      <c r="Q198" s="32">
        <f>IF(Dados!B199="","",Dados!B199)</f>
        <v>1.7</v>
      </c>
    </row>
    <row r="199" spans="17:17" x14ac:dyDescent="0.3">
      <c r="Q199" s="32">
        <f>IF(Dados!B200="","",Dados!B200)</f>
        <v>4</v>
      </c>
    </row>
    <row r="200" spans="17:17" x14ac:dyDescent="0.3">
      <c r="Q200" s="32">
        <f>IF(Dados!B201="","",Dados!B201)</f>
        <v>3</v>
      </c>
    </row>
    <row r="201" spans="17:17" x14ac:dyDescent="0.3">
      <c r="Q201" s="32">
        <f>IF(Dados!B202="","",Dados!B202)</f>
        <v>6</v>
      </c>
    </row>
    <row r="202" spans="17:17" x14ac:dyDescent="0.3">
      <c r="Q202" s="32">
        <f>IF(Dados!B203="","",Dados!B203)</f>
        <v>4.5</v>
      </c>
    </row>
    <row r="203" spans="17:17" x14ac:dyDescent="0.3">
      <c r="Q203" s="32">
        <f>IF(Dados!B204="","",Dados!B204)</f>
        <v>6</v>
      </c>
    </row>
    <row r="204" spans="17:17" x14ac:dyDescent="0.3">
      <c r="Q204" s="32">
        <f>IF(Dados!B205="","",Dados!B205)</f>
        <v>6</v>
      </c>
    </row>
    <row r="205" spans="17:17" x14ac:dyDescent="0.3">
      <c r="Q205" s="32">
        <f>IF(Dados!B206="","",Dados!B206)</f>
        <v>5.5</v>
      </c>
    </row>
    <row r="206" spans="17:17" x14ac:dyDescent="0.3">
      <c r="Q206" s="32">
        <f>IF(Dados!B207="","",Dados!B207)</f>
        <v>6</v>
      </c>
    </row>
    <row r="207" spans="17:17" x14ac:dyDescent="0.3">
      <c r="Q207" s="32">
        <f>IF(Dados!B208="","",Dados!B208)</f>
        <v>6</v>
      </c>
    </row>
    <row r="208" spans="17:17" x14ac:dyDescent="0.3">
      <c r="Q208" s="32">
        <f>IF(Dados!B209="","",Dados!B209)</f>
        <v>5</v>
      </c>
    </row>
    <row r="209" spans="17:17" x14ac:dyDescent="0.3">
      <c r="Q209" s="32">
        <f>IF(Dados!B210="","",Dados!B210)</f>
        <v>6</v>
      </c>
    </row>
    <row r="210" spans="17:17" x14ac:dyDescent="0.3">
      <c r="Q210" s="32">
        <f>IF(Dados!B211="","",Dados!B211)</f>
        <v>6</v>
      </c>
    </row>
    <row r="211" spans="17:17" x14ac:dyDescent="0.3">
      <c r="Q211" s="32">
        <f>IF(Dados!B212="","",Dados!B212)</f>
        <v>3.5</v>
      </c>
    </row>
    <row r="212" spans="17:17" x14ac:dyDescent="0.3">
      <c r="Q212" s="32">
        <f>IF(Dados!B213="","",Dados!B213)</f>
        <v>9</v>
      </c>
    </row>
    <row r="213" spans="17:17" x14ac:dyDescent="0.3">
      <c r="Q213" s="32">
        <f>IF(Dados!B214="","",Dados!B214)</f>
        <v>9.5</v>
      </c>
    </row>
    <row r="214" spans="17:17" x14ac:dyDescent="0.3">
      <c r="Q214" s="32">
        <f>IF(Dados!B215="","",Dados!B215)</f>
        <v>10</v>
      </c>
    </row>
    <row r="215" spans="17:17" x14ac:dyDescent="0.3">
      <c r="Q215" s="32">
        <f>IF(Dados!B216="","",Dados!B216)</f>
        <v>10</v>
      </c>
    </row>
    <row r="216" spans="17:17" x14ac:dyDescent="0.3">
      <c r="Q216" s="32">
        <f>IF(Dados!B217="","",Dados!B217)</f>
        <v>10</v>
      </c>
    </row>
    <row r="217" spans="17:17" x14ac:dyDescent="0.3">
      <c r="Q217" s="32">
        <f>IF(Dados!B218="","",Dados!B218)</f>
        <v>8</v>
      </c>
    </row>
    <row r="218" spans="17:17" x14ac:dyDescent="0.3">
      <c r="Q218" s="32">
        <f>IF(Dados!B219="","",Dados!B219)</f>
        <v>8</v>
      </c>
    </row>
    <row r="219" spans="17:17" x14ac:dyDescent="0.3">
      <c r="Q219" s="32">
        <f>IF(Dados!B220="","",Dados!B220)</f>
        <v>10</v>
      </c>
    </row>
    <row r="220" spans="17:17" x14ac:dyDescent="0.3">
      <c r="Q220" s="32">
        <f>IF(Dados!B221="","",Dados!B221)</f>
        <v>12</v>
      </c>
    </row>
    <row r="221" spans="17:17" x14ac:dyDescent="0.3">
      <c r="Q221" s="32">
        <f>IF(Dados!B222="","",Dados!B222)</f>
        <v>12</v>
      </c>
    </row>
    <row r="222" spans="17:17" x14ac:dyDescent="0.3">
      <c r="Q222" s="32">
        <f>IF(Dados!B223="","",Dados!B223)</f>
        <v>12</v>
      </c>
    </row>
    <row r="223" spans="17:17" x14ac:dyDescent="0.3">
      <c r="Q223" s="32">
        <f>IF(Dados!B224="","",Dados!B224)</f>
        <v>12</v>
      </c>
    </row>
    <row r="224" spans="17:17" x14ac:dyDescent="0.3">
      <c r="Q224" s="32">
        <f>IF(Dados!B225="","",Dados!B225)</f>
        <v>12</v>
      </c>
    </row>
    <row r="225" spans="17:17" x14ac:dyDescent="0.3">
      <c r="Q225" s="32">
        <f>IF(Dados!B226="","",Dados!B226)</f>
        <v>12</v>
      </c>
    </row>
    <row r="226" spans="17:17" x14ac:dyDescent="0.3">
      <c r="Q226" s="32">
        <f>IF(Dados!B227="","",Dados!B227)</f>
        <v>12</v>
      </c>
    </row>
    <row r="227" spans="17:17" x14ac:dyDescent="0.3">
      <c r="Q227" s="32">
        <f>IF(Dados!B228="","",Dados!B228)</f>
        <v>7</v>
      </c>
    </row>
    <row r="228" spans="17:17" x14ac:dyDescent="0.3">
      <c r="Q228" s="32">
        <f>IF(Dados!B229="","",Dados!B229)</f>
        <v>7</v>
      </c>
    </row>
    <row r="229" spans="17:17" x14ac:dyDescent="0.3">
      <c r="Q229" s="32">
        <f>IF(Dados!B230="","",Dados!B230)</f>
        <v>7</v>
      </c>
    </row>
    <row r="230" spans="17:17" x14ac:dyDescent="0.3">
      <c r="Q230" s="32">
        <f>IF(Dados!B231="","",Dados!B231)</f>
        <v>5</v>
      </c>
    </row>
    <row r="231" spans="17:17" x14ac:dyDescent="0.3">
      <c r="Q231" s="32">
        <f>IF(Dados!B232="","",Dados!B232)</f>
        <v>2.2000000000000002</v>
      </c>
    </row>
    <row r="232" spans="17:17" x14ac:dyDescent="0.3">
      <c r="Q232" s="32">
        <f>IF(Dados!B233="","",Dados!B233)</f>
        <v>3.5</v>
      </c>
    </row>
    <row r="233" spans="17:17" x14ac:dyDescent="0.3">
      <c r="Q233" s="32">
        <f>IF(Dados!B234="","",Dados!B234)</f>
        <v>5</v>
      </c>
    </row>
    <row r="234" spans="17:17" x14ac:dyDescent="0.3">
      <c r="Q234" s="32">
        <f>IF(Dados!B235="","",Dados!B235)</f>
        <v>3.5</v>
      </c>
    </row>
    <row r="235" spans="17:17" x14ac:dyDescent="0.3">
      <c r="Q235" s="32">
        <f>IF(Dados!B236="","",Dados!B236)</f>
        <v>6.5</v>
      </c>
    </row>
    <row r="236" spans="17:17" x14ac:dyDescent="0.3">
      <c r="Q236" s="32">
        <f>IF(Dados!B237="","",Dados!B237)</f>
        <v>6</v>
      </c>
    </row>
    <row r="237" spans="17:17" x14ac:dyDescent="0.3">
      <c r="Q237" s="32">
        <f>IF(Dados!B238="","",Dados!B238)</f>
        <v>6</v>
      </c>
    </row>
    <row r="238" spans="17:17" x14ac:dyDescent="0.3">
      <c r="Q238" s="32">
        <f>IF(Dados!B239="","",Dados!B239)</f>
        <v>6.5</v>
      </c>
    </row>
    <row r="239" spans="17:17" x14ac:dyDescent="0.3">
      <c r="Q239" s="32">
        <f>IF(Dados!B240="","",Dados!B240)</f>
        <v>3.5</v>
      </c>
    </row>
    <row r="240" spans="17:17" x14ac:dyDescent="0.3">
      <c r="Q240" s="32">
        <f>IF(Dados!B241="","",Dados!B241)</f>
        <v>10</v>
      </c>
    </row>
    <row r="241" spans="17:17" x14ac:dyDescent="0.3">
      <c r="Q241" s="32">
        <f>IF(Dados!B242="","",Dados!B242)</f>
        <v>10</v>
      </c>
    </row>
    <row r="242" spans="17:17" x14ac:dyDescent="0.3">
      <c r="Q242" s="32">
        <f>IF(Dados!B243="","",Dados!B243)</f>
        <v>9.5</v>
      </c>
    </row>
    <row r="243" spans="17:17" x14ac:dyDescent="0.3">
      <c r="Q243" s="32">
        <f>IF(Dados!B244="","",Dados!B244)</f>
        <v>10</v>
      </c>
    </row>
    <row r="244" spans="17:17" x14ac:dyDescent="0.3">
      <c r="Q244" s="32">
        <f>IF(Dados!B245="","",Dados!B245)</f>
        <v>9</v>
      </c>
    </row>
    <row r="245" spans="17:17" x14ac:dyDescent="0.3">
      <c r="Q245" s="32">
        <f>IF(Dados!B246="","",Dados!B246)</f>
        <v>8</v>
      </c>
    </row>
    <row r="246" spans="17:17" x14ac:dyDescent="0.3">
      <c r="Q246" s="32">
        <f>IF(Dados!B247="","",Dados!B247)</f>
        <v>9</v>
      </c>
    </row>
    <row r="247" spans="17:17" x14ac:dyDescent="0.3">
      <c r="Q247" s="32">
        <f>IF(Dados!B248="","",Dados!B248)</f>
        <v>10</v>
      </c>
    </row>
    <row r="248" spans="17:17" x14ac:dyDescent="0.3">
      <c r="Q248" s="32">
        <f>IF(Dados!B249="","",Dados!B249)</f>
        <v>8.5</v>
      </c>
    </row>
    <row r="249" spans="17:17" x14ac:dyDescent="0.3">
      <c r="Q249" s="32">
        <f>IF(Dados!B250="","",Dados!B250)</f>
        <v>8.5</v>
      </c>
    </row>
    <row r="250" spans="17:17" x14ac:dyDescent="0.3">
      <c r="Q250" s="32">
        <f>IF(Dados!B251="","",Dados!B251)</f>
        <v>8</v>
      </c>
    </row>
    <row r="251" spans="17:17" x14ac:dyDescent="0.3">
      <c r="Q251" s="32">
        <f>IF(Dados!B252="","",Dados!B252)</f>
        <v>12</v>
      </c>
    </row>
    <row r="252" spans="17:17" x14ac:dyDescent="0.3">
      <c r="Q252" s="32">
        <f>IF(Dados!B253="","",Dados!B253)</f>
        <v>13</v>
      </c>
    </row>
    <row r="253" spans="17:17" x14ac:dyDescent="0.3">
      <c r="Q253" s="32">
        <f>IF(Dados!B254="","",Dados!B254)</f>
        <v>12</v>
      </c>
    </row>
    <row r="254" spans="17:17" x14ac:dyDescent="0.3">
      <c r="Q254" s="32">
        <f>IF(Dados!B255="","",Dados!B255)</f>
        <v>12</v>
      </c>
    </row>
    <row r="255" spans="17:17" x14ac:dyDescent="0.3">
      <c r="Q255" s="32">
        <f>IF(Dados!B256="","",Dados!B256)</f>
        <v>12</v>
      </c>
    </row>
    <row r="256" spans="17:17" x14ac:dyDescent="0.3">
      <c r="Q256" s="32">
        <f>IF(Dados!B257="","",Dados!B257)</f>
        <v>7</v>
      </c>
    </row>
    <row r="257" spans="17:17" x14ac:dyDescent="0.3">
      <c r="Q257" s="32">
        <f>IF(Dados!B258="","",Dados!B258)</f>
        <v>7.5</v>
      </c>
    </row>
    <row r="258" spans="17:17" x14ac:dyDescent="0.3">
      <c r="Q258" s="32">
        <f>IF(Dados!B259="","",Dados!B259)</f>
        <v>7</v>
      </c>
    </row>
    <row r="259" spans="17:17" x14ac:dyDescent="0.3">
      <c r="Q259" s="32">
        <f>IF(Dados!B260="","",Dados!B260)</f>
        <v>7</v>
      </c>
    </row>
    <row r="260" spans="17:17" x14ac:dyDescent="0.3">
      <c r="Q260" s="32">
        <f>IF(Dados!B261="","",Dados!B261)</f>
        <v>7</v>
      </c>
    </row>
    <row r="261" spans="17:17" x14ac:dyDescent="0.3">
      <c r="Q261" s="32">
        <f>IF(Dados!B262="","",Dados!B262)</f>
        <v>4</v>
      </c>
    </row>
    <row r="262" spans="17:17" x14ac:dyDescent="0.3">
      <c r="Q262" s="32">
        <f>IF(Dados!B263="","",Dados!B263)</f>
        <v>6</v>
      </c>
    </row>
    <row r="263" spans="17:17" x14ac:dyDescent="0.3">
      <c r="Q263" s="32">
        <f>IF(Dados!B264="","",Dados!B264)</f>
        <v>6</v>
      </c>
    </row>
    <row r="264" spans="17:17" x14ac:dyDescent="0.3">
      <c r="Q264" s="32">
        <f>IF(Dados!B265="","",Dados!B265)</f>
        <v>3.5</v>
      </c>
    </row>
    <row r="265" spans="17:17" x14ac:dyDescent="0.3">
      <c r="Q265" s="32">
        <f>IF(Dados!B266="","",Dados!B266)</f>
        <v>6</v>
      </c>
    </row>
    <row r="266" spans="17:17" x14ac:dyDescent="0.3">
      <c r="Q266" s="32">
        <f>IF(Dados!B267="","",Dados!B267)</f>
        <v>6</v>
      </c>
    </row>
    <row r="267" spans="17:17" x14ac:dyDescent="0.3">
      <c r="Q267" s="32">
        <f>IF(Dados!B268="","",Dados!B268)</f>
        <v>4</v>
      </c>
    </row>
    <row r="268" spans="17:17" x14ac:dyDescent="0.3">
      <c r="Q268" s="32">
        <f>IF(Dados!B269="","",Dados!B269)</f>
        <v>4</v>
      </c>
    </row>
    <row r="269" spans="17:17" x14ac:dyDescent="0.3">
      <c r="Q269" s="32">
        <f>IF(Dados!B270="","",Dados!B270)</f>
        <v>4.5</v>
      </c>
    </row>
    <row r="270" spans="17:17" x14ac:dyDescent="0.3">
      <c r="Q270" s="32">
        <f>IF(Dados!B271="","",Dados!B271)</f>
        <v>5</v>
      </c>
    </row>
    <row r="271" spans="17:17" x14ac:dyDescent="0.3">
      <c r="Q271" s="32">
        <f>IF(Dados!B272="","",Dados!B272)</f>
        <v>8</v>
      </c>
    </row>
    <row r="272" spans="17:17" x14ac:dyDescent="0.3">
      <c r="Q272" s="32">
        <f>IF(Dados!B273="","",Dados!B273)</f>
        <v>9</v>
      </c>
    </row>
    <row r="273" spans="17:17" x14ac:dyDescent="0.3">
      <c r="Q273" s="32">
        <f>IF(Dados!B274="","",Dados!B274)</f>
        <v>8</v>
      </c>
    </row>
    <row r="274" spans="17:17" x14ac:dyDescent="0.3">
      <c r="Q274" s="32">
        <f>IF(Dados!B275="","",Dados!B275)</f>
        <v>8</v>
      </c>
    </row>
    <row r="275" spans="17:17" x14ac:dyDescent="0.3">
      <c r="Q275" s="32">
        <f>IF(Dados!B276="","",Dados!B276)</f>
        <v>9</v>
      </c>
    </row>
    <row r="276" spans="17:17" x14ac:dyDescent="0.3">
      <c r="Q276" s="32">
        <f>IF(Dados!B277="","",Dados!B277)</f>
        <v>9</v>
      </c>
    </row>
    <row r="277" spans="17:17" x14ac:dyDescent="0.3">
      <c r="Q277" s="32">
        <f>IF(Dados!B278="","",Dados!B278)</f>
        <v>9</v>
      </c>
    </row>
    <row r="278" spans="17:17" x14ac:dyDescent="0.3">
      <c r="Q278" s="32">
        <f>IF(Dados!B279="","",Dados!B279)</f>
        <v>8</v>
      </c>
    </row>
    <row r="279" spans="17:17" x14ac:dyDescent="0.3">
      <c r="Q279" s="32">
        <f>IF(Dados!B280="","",Dados!B280)</f>
        <v>8</v>
      </c>
    </row>
    <row r="280" spans="17:17" x14ac:dyDescent="0.3">
      <c r="Q280" s="32">
        <f>IF(Dados!B281="","",Dados!B281)</f>
        <v>8</v>
      </c>
    </row>
    <row r="281" spans="17:17" x14ac:dyDescent="0.3">
      <c r="Q281" s="32">
        <f>IF(Dados!B282="","",Dados!B282)</f>
        <v>11</v>
      </c>
    </row>
    <row r="282" spans="17:17" x14ac:dyDescent="0.3">
      <c r="Q282" s="32">
        <f>IF(Dados!B283="","",Dados!B283)</f>
        <v>12</v>
      </c>
    </row>
    <row r="283" spans="17:17" x14ac:dyDescent="0.3">
      <c r="Q283" s="32">
        <f>IF(Dados!B284="","",Dados!B284)</f>
        <v>11</v>
      </c>
    </row>
    <row r="284" spans="17:17" x14ac:dyDescent="0.3">
      <c r="Q284" s="32">
        <f>IF(Dados!B285="","",Dados!B285)</f>
        <v>11</v>
      </c>
    </row>
    <row r="285" spans="17:17" x14ac:dyDescent="0.3">
      <c r="Q285" s="32">
        <f>IF(Dados!B286="","",Dados!B286)</f>
        <v>11</v>
      </c>
    </row>
    <row r="286" spans="17:17" x14ac:dyDescent="0.3">
      <c r="Q286" s="32">
        <f>IF(Dados!B287="","",Dados!B287)</f>
        <v>7.5</v>
      </c>
    </row>
    <row r="287" spans="17:17" x14ac:dyDescent="0.3">
      <c r="Q287" s="32">
        <f>IF(Dados!B288="","",Dados!B288)</f>
        <v>7.5</v>
      </c>
    </row>
    <row r="288" spans="17:17" x14ac:dyDescent="0.3">
      <c r="Q288" s="32">
        <f>IF(Dados!B289="","",Dados!B289)</f>
        <v>1.9</v>
      </c>
    </row>
    <row r="289" spans="17:17" x14ac:dyDescent="0.3">
      <c r="Q289" s="32">
        <f>IF(Dados!B290="","",Dados!B290)</f>
        <v>4</v>
      </c>
    </row>
    <row r="290" spans="17:17" x14ac:dyDescent="0.3">
      <c r="Q290" s="32">
        <f>IF(Dados!B291="","",Dados!B291)</f>
        <v>5.5</v>
      </c>
    </row>
    <row r="291" spans="17:17" x14ac:dyDescent="0.3">
      <c r="Q291" s="32">
        <f>IF(Dados!B292="","",Dados!B292)</f>
        <v>5</v>
      </c>
    </row>
    <row r="292" spans="17:17" x14ac:dyDescent="0.3">
      <c r="Q292" s="32">
        <f>IF(Dados!B293="","",Dados!B293)</f>
        <v>5</v>
      </c>
    </row>
    <row r="293" spans="17:17" x14ac:dyDescent="0.3">
      <c r="Q293" s="32">
        <f>IF(Dados!B294="","",Dados!B294)</f>
        <v>11</v>
      </c>
    </row>
    <row r="294" spans="17:17" x14ac:dyDescent="0.3">
      <c r="Q294" s="32">
        <f>IF(Dados!B295="","",Dados!B295)</f>
        <v>11</v>
      </c>
    </row>
    <row r="295" spans="17:17" x14ac:dyDescent="0.3">
      <c r="Q295" s="32">
        <f>IF(Dados!B296="","",Dados!B296)</f>
        <v>11</v>
      </c>
    </row>
    <row r="296" spans="17:17" x14ac:dyDescent="0.3">
      <c r="Q296" s="32">
        <f>IF(Dados!B297="","",Dados!B297)</f>
        <v>7</v>
      </c>
    </row>
    <row r="297" spans="17:17" x14ac:dyDescent="0.3">
      <c r="Q297" s="32">
        <f>IF(Dados!B298="","",Dados!B298)</f>
        <v>7</v>
      </c>
    </row>
    <row r="298" spans="17:17" x14ac:dyDescent="0.3">
      <c r="Q298" s="32">
        <f>IF(Dados!B299="","",Dados!B299)</f>
        <v>7</v>
      </c>
    </row>
    <row r="299" spans="17:17" x14ac:dyDescent="0.3">
      <c r="Q299" s="32">
        <f>IF(Dados!B300="","",Dados!B300)</f>
        <v>7</v>
      </c>
    </row>
    <row r="300" spans="17:17" x14ac:dyDescent="0.3">
      <c r="Q300" s="32">
        <f>IF(Dados!B301="","",Dados!B301)</f>
        <v>3</v>
      </c>
    </row>
    <row r="301" spans="17:17" x14ac:dyDescent="0.3">
      <c r="Q301" s="32">
        <f>IF(Dados!B302="","",Dados!B302)</f>
        <v>6</v>
      </c>
    </row>
    <row r="302" spans="17:17" x14ac:dyDescent="0.3">
      <c r="Q302" s="32">
        <f>IF(Dados!B303="","",Dados!B303)</f>
        <v>6.5</v>
      </c>
    </row>
    <row r="303" spans="17:17" x14ac:dyDescent="0.3">
      <c r="Q303" s="32">
        <f>IF(Dados!B304="","",Dados!B304)</f>
        <v>8</v>
      </c>
    </row>
    <row r="304" spans="17:17" x14ac:dyDescent="0.3">
      <c r="Q304" s="32">
        <f>IF(Dados!B305="","",Dados!B305)</f>
        <v>10</v>
      </c>
    </row>
    <row r="305" spans="17:17" x14ac:dyDescent="0.3">
      <c r="Q305" s="32">
        <f>IF(Dados!B306="","",Dados!B306)</f>
        <v>10</v>
      </c>
    </row>
    <row r="306" spans="17:17" x14ac:dyDescent="0.3">
      <c r="Q306" s="32">
        <f>IF(Dados!B307="","",Dados!B307)</f>
        <v>12</v>
      </c>
    </row>
    <row r="307" spans="17:17" x14ac:dyDescent="0.3">
      <c r="Q307" s="32">
        <f>IF(Dados!B308="","",Dados!B308)</f>
        <v>13</v>
      </c>
    </row>
    <row r="308" spans="17:17" x14ac:dyDescent="0.3">
      <c r="Q308" s="32">
        <f>IF(Dados!B309="","",Dados!B309)</f>
        <v>5</v>
      </c>
    </row>
    <row r="309" spans="17:17" x14ac:dyDescent="0.3">
      <c r="Q309" s="32">
        <f>IF(Dados!B310="","",Dados!B310)</f>
        <v>5.5</v>
      </c>
    </row>
    <row r="310" spans="17:17" x14ac:dyDescent="0.3">
      <c r="Q310" s="32">
        <f>IF(Dados!B311="","",Dados!B311)</f>
        <v>4</v>
      </c>
    </row>
    <row r="311" spans="17:17" x14ac:dyDescent="0.3">
      <c r="Q311" s="32">
        <f>IF(Dados!B312="","",Dados!B312)</f>
        <v>5</v>
      </c>
    </row>
    <row r="312" spans="17:17" x14ac:dyDescent="0.3">
      <c r="Q312" s="32">
        <f>IF(Dados!B313="","",Dados!B313)</f>
        <v>4</v>
      </c>
    </row>
    <row r="313" spans="17:17" x14ac:dyDescent="0.3">
      <c r="Q313" s="32">
        <f>IF(Dados!B314="","",Dados!B314)</f>
        <v>6</v>
      </c>
    </row>
    <row r="314" spans="17:17" x14ac:dyDescent="0.3">
      <c r="Q314" s="32">
        <f>IF(Dados!B315="","",Dados!B315)</f>
        <v>5</v>
      </c>
    </row>
    <row r="315" spans="17:17" x14ac:dyDescent="0.3">
      <c r="Q315" s="32">
        <f>IF(Dados!B316="","",Dados!B316)</f>
        <v>9.5</v>
      </c>
    </row>
    <row r="316" spans="17:17" x14ac:dyDescent="0.3">
      <c r="Q316" s="32">
        <f>IF(Dados!B317="","",Dados!B317)</f>
        <v>9.5</v>
      </c>
    </row>
    <row r="317" spans="17:17" x14ac:dyDescent="0.3">
      <c r="Q317" s="32">
        <f>IF(Dados!B318="","",Dados!B318)</f>
        <v>10</v>
      </c>
    </row>
    <row r="318" spans="17:17" x14ac:dyDescent="0.3">
      <c r="Q318" s="32">
        <f>IF(Dados!B319="","",Dados!B319)</f>
        <v>10</v>
      </c>
    </row>
    <row r="319" spans="17:17" x14ac:dyDescent="0.3">
      <c r="Q319" s="32">
        <f>IF(Dados!B320="","",Dados!B320)</f>
        <v>10</v>
      </c>
    </row>
    <row r="320" spans="17:17" x14ac:dyDescent="0.3">
      <c r="Q320" s="32">
        <f>IF(Dados!B321="","",Dados!B321)</f>
        <v>8</v>
      </c>
    </row>
    <row r="321" spans="17:17" x14ac:dyDescent="0.3">
      <c r="Q321" s="32">
        <f>IF(Dados!B322="","",Dados!B322)</f>
        <v>8</v>
      </c>
    </row>
    <row r="322" spans="17:17" x14ac:dyDescent="0.3">
      <c r="Q322" s="32">
        <f>IF(Dados!B323="","",Dados!B323)</f>
        <v>11</v>
      </c>
    </row>
    <row r="323" spans="17:17" x14ac:dyDescent="0.3">
      <c r="Q323" s="32">
        <f>IF(Dados!B324="","",Dados!B324)</f>
        <v>14</v>
      </c>
    </row>
    <row r="324" spans="17:17" x14ac:dyDescent="0.3">
      <c r="Q324" s="32">
        <f>IF(Dados!B325="","",Dados!B325)</f>
        <v>13</v>
      </c>
    </row>
    <row r="325" spans="17:17" x14ac:dyDescent="0.3">
      <c r="Q325" s="32">
        <f>IF(Dados!B326="","",Dados!B326)</f>
        <v>7</v>
      </c>
    </row>
    <row r="326" spans="17:17" x14ac:dyDescent="0.3">
      <c r="Q326" s="32">
        <f>IF(Dados!B327="","",Dados!B327)</f>
        <v>7</v>
      </c>
    </row>
    <row r="327" spans="17:17" x14ac:dyDescent="0.3">
      <c r="Q327" s="32">
        <f>IF(Dados!B328="","",Dados!B328)</f>
        <v>7</v>
      </c>
    </row>
    <row r="328" spans="17:17" x14ac:dyDescent="0.3">
      <c r="Q328" s="32">
        <f>IF(Dados!B329="","",Dados!B329)</f>
        <v>7</v>
      </c>
    </row>
    <row r="329" spans="17:17" x14ac:dyDescent="0.3">
      <c r="Q329" s="32">
        <f>IF(Dados!B330="","",Dados!B330)</f>
        <v>7</v>
      </c>
    </row>
    <row r="330" spans="17:17" x14ac:dyDescent="0.3">
      <c r="Q330" s="32">
        <f>IF(Dados!B331="","",Dados!B331)</f>
        <v>7</v>
      </c>
    </row>
    <row r="331" spans="17:17" x14ac:dyDescent="0.3">
      <c r="Q331" s="32">
        <f>IF(Dados!B332="","",Dados!B332)</f>
        <v>7</v>
      </c>
    </row>
    <row r="332" spans="17:17" x14ac:dyDescent="0.3">
      <c r="Q332" s="32">
        <f>IF(Dados!B333="","",Dados!B333)</f>
        <v>2</v>
      </c>
    </row>
    <row r="333" spans="17:17" x14ac:dyDescent="0.3">
      <c r="Q333" s="32">
        <f>IF(Dados!B334="","",Dados!B334)</f>
        <v>4</v>
      </c>
    </row>
    <row r="334" spans="17:17" x14ac:dyDescent="0.3">
      <c r="Q334" s="32">
        <f>IF(Dados!B335="","",Dados!B335)</f>
        <v>4</v>
      </c>
    </row>
    <row r="335" spans="17:17" x14ac:dyDescent="0.3">
      <c r="Q335" s="32">
        <f>IF(Dados!B336="","",Dados!B336)</f>
        <v>5.5</v>
      </c>
    </row>
    <row r="336" spans="17:17" x14ac:dyDescent="0.3">
      <c r="Q336" s="32">
        <f>IF(Dados!B337="","",Dados!B337)</f>
        <v>8.5</v>
      </c>
    </row>
    <row r="337" spans="17:17" x14ac:dyDescent="0.3">
      <c r="Q337" s="32">
        <f>IF(Dados!B338="","",Dados!B338)</f>
        <v>9</v>
      </c>
    </row>
    <row r="338" spans="17:17" x14ac:dyDescent="0.3">
      <c r="Q338" s="32">
        <f>IF(Dados!B339="","",Dados!B339)</f>
        <v>10</v>
      </c>
    </row>
    <row r="339" spans="17:17" x14ac:dyDescent="0.3">
      <c r="Q339" s="32">
        <f>IF(Dados!B340="","",Dados!B340)</f>
        <v>10</v>
      </c>
    </row>
    <row r="340" spans="17:17" x14ac:dyDescent="0.3">
      <c r="Q340" s="32">
        <f>IF(Dados!B341="","",Dados!B341)</f>
        <v>10</v>
      </c>
    </row>
    <row r="341" spans="17:17" x14ac:dyDescent="0.3">
      <c r="Q341" s="32">
        <f>IF(Dados!B342="","",Dados!B342)</f>
        <v>8</v>
      </c>
    </row>
    <row r="342" spans="17:17" x14ac:dyDescent="0.3">
      <c r="Q342" s="32">
        <f>IF(Dados!B343="","",Dados!B343)</f>
        <v>8</v>
      </c>
    </row>
    <row r="343" spans="17:17" x14ac:dyDescent="0.3">
      <c r="Q343" s="32">
        <f>IF(Dados!B344="","",Dados!B344)</f>
        <v>10</v>
      </c>
    </row>
    <row r="344" spans="17:17" x14ac:dyDescent="0.3">
      <c r="Q344" s="32">
        <f>IF(Dados!B345="","",Dados!B345)</f>
        <v>9</v>
      </c>
    </row>
    <row r="345" spans="17:17" x14ac:dyDescent="0.3">
      <c r="Q345" s="32">
        <f>IF(Dados!B346="","",Dados!B346)</f>
        <v>9</v>
      </c>
    </row>
    <row r="346" spans="17:17" x14ac:dyDescent="0.3">
      <c r="Q346" s="32">
        <f>IF(Dados!B347="","",Dados!B347)</f>
        <v>11</v>
      </c>
    </row>
    <row r="347" spans="17:17" x14ac:dyDescent="0.3">
      <c r="Q347" s="32">
        <f>IF(Dados!B348="","",Dados!B348)</f>
        <v>11</v>
      </c>
    </row>
    <row r="348" spans="17:17" x14ac:dyDescent="0.3">
      <c r="Q348" s="32">
        <f>IF(Dados!B349="","",Dados!B349)</f>
        <v>11</v>
      </c>
    </row>
    <row r="349" spans="17:17" x14ac:dyDescent="0.3">
      <c r="Q349" s="32">
        <f>IF(Dados!B350="","",Dados!B350)</f>
        <v>11</v>
      </c>
    </row>
    <row r="350" spans="17:17" x14ac:dyDescent="0.3">
      <c r="Q350" s="32">
        <f>IF(Dados!B351="","",Dados!B351)</f>
        <v>11</v>
      </c>
    </row>
    <row r="351" spans="17:17" x14ac:dyDescent="0.3">
      <c r="Q351" s="32">
        <f>IF(Dados!B352="","",Dados!B352)</f>
        <v>14</v>
      </c>
    </row>
    <row r="352" spans="17:17" x14ac:dyDescent="0.3">
      <c r="Q352" s="32">
        <f>IF(Dados!B353="","",Dados!B353)</f>
        <v>12</v>
      </c>
    </row>
    <row r="353" spans="17:17" x14ac:dyDescent="0.3">
      <c r="Q353" s="32">
        <f>IF(Dados!B354="","",Dados!B354)</f>
        <v>7.5</v>
      </c>
    </row>
    <row r="354" spans="17:17" x14ac:dyDescent="0.3">
      <c r="Q354" s="32">
        <f>IF(Dados!B355="","",Dados!B355)</f>
        <v>7</v>
      </c>
    </row>
    <row r="355" spans="17:17" x14ac:dyDescent="0.3">
      <c r="Q355" s="32">
        <f>IF(Dados!B356="","",Dados!B356)</f>
        <v>7.5</v>
      </c>
    </row>
    <row r="356" spans="17:17" x14ac:dyDescent="0.3">
      <c r="Q356" s="32">
        <f>IF(Dados!B357="","",Dados!B357)</f>
        <v>6</v>
      </c>
    </row>
    <row r="357" spans="17:17" x14ac:dyDescent="0.3">
      <c r="Q357" s="32">
        <f>IF(Dados!B358="","",Dados!B358)</f>
        <v>6</v>
      </c>
    </row>
    <row r="358" spans="17:17" x14ac:dyDescent="0.3">
      <c r="Q358" s="32">
        <f>IF(Dados!B359="","",Dados!B359)</f>
        <v>6.5</v>
      </c>
    </row>
    <row r="359" spans="17:17" x14ac:dyDescent="0.3">
      <c r="Q359" s="32">
        <f>IF(Dados!B360="","",Dados!B360)</f>
        <v>4</v>
      </c>
    </row>
    <row r="360" spans="17:17" x14ac:dyDescent="0.3">
      <c r="Q360" s="32">
        <f>IF(Dados!B361="","",Dados!B361)</f>
        <v>6</v>
      </c>
    </row>
    <row r="361" spans="17:17" x14ac:dyDescent="0.3">
      <c r="Q361" s="32">
        <f>IF(Dados!B362="","",Dados!B362)</f>
        <v>5</v>
      </c>
    </row>
    <row r="362" spans="17:17" x14ac:dyDescent="0.3">
      <c r="Q362" s="32">
        <f>IF(Dados!B363="","",Dados!B363)</f>
        <v>4</v>
      </c>
    </row>
    <row r="363" spans="17:17" x14ac:dyDescent="0.3">
      <c r="Q363" s="32">
        <f>IF(Dados!B364="","",Dados!B364)</f>
        <v>3.5</v>
      </c>
    </row>
    <row r="364" spans="17:17" x14ac:dyDescent="0.3">
      <c r="Q364" s="32">
        <f>IF(Dados!B365="","",Dados!B365)</f>
        <v>4</v>
      </c>
    </row>
    <row r="365" spans="17:17" x14ac:dyDescent="0.3">
      <c r="Q365" s="32">
        <f>IF(Dados!B366="","",Dados!B366)</f>
        <v>4.5</v>
      </c>
    </row>
    <row r="366" spans="17:17" x14ac:dyDescent="0.3">
      <c r="Q366" s="32">
        <f>IF(Dados!B367="","",Dados!B367)</f>
        <v>10</v>
      </c>
    </row>
    <row r="367" spans="17:17" x14ac:dyDescent="0.3">
      <c r="Q367" s="32">
        <f>IF(Dados!B368="","",Dados!B368)</f>
        <v>9</v>
      </c>
    </row>
    <row r="368" spans="17:17" x14ac:dyDescent="0.3">
      <c r="Q368" s="32">
        <f>IF(Dados!B369="","",Dados!B369)</f>
        <v>8</v>
      </c>
    </row>
    <row r="369" spans="17:17" x14ac:dyDescent="0.3">
      <c r="Q369" s="32">
        <f>IF(Dados!B370="","",Dados!B370)</f>
        <v>8</v>
      </c>
    </row>
    <row r="370" spans="17:17" x14ac:dyDescent="0.3">
      <c r="Q370" s="32">
        <f>IF(Dados!B371="","",Dados!B371)</f>
        <v>10</v>
      </c>
    </row>
    <row r="371" spans="17:17" x14ac:dyDescent="0.3">
      <c r="Q371" s="32">
        <f>IF(Dados!B372="","",Dados!B372)</f>
        <v>9</v>
      </c>
    </row>
    <row r="372" spans="17:17" x14ac:dyDescent="0.3">
      <c r="Q372" s="32">
        <f>IF(Dados!B373="","",Dados!B373)</f>
        <v>8</v>
      </c>
    </row>
    <row r="373" spans="17:17" x14ac:dyDescent="0.3">
      <c r="Q373" s="32">
        <f>IF(Dados!B374="","",Dados!B374)</f>
        <v>10</v>
      </c>
    </row>
    <row r="374" spans="17:17" x14ac:dyDescent="0.3">
      <c r="Q374" s="32">
        <f>IF(Dados!B375="","",Dados!B375)</f>
        <v>9</v>
      </c>
    </row>
    <row r="375" spans="17:17" x14ac:dyDescent="0.3">
      <c r="Q375" s="32">
        <f>IF(Dados!B376="","",Dados!B376)</f>
        <v>9</v>
      </c>
    </row>
    <row r="376" spans="17:17" x14ac:dyDescent="0.3">
      <c r="Q376" s="32">
        <f>IF(Dados!B377="","",Dados!B377)</f>
        <v>8</v>
      </c>
    </row>
    <row r="377" spans="17:17" x14ac:dyDescent="0.3">
      <c r="Q377" s="32">
        <f>IF(Dados!B378="","",Dados!B378)</f>
        <v>9</v>
      </c>
    </row>
    <row r="378" spans="17:17" x14ac:dyDescent="0.3">
      <c r="Q378" s="32">
        <f>IF(Dados!B379="","",Dados!B379)</f>
        <v>8</v>
      </c>
    </row>
    <row r="379" spans="17:17" x14ac:dyDescent="0.3">
      <c r="Q379" s="32">
        <f>IF(Dados!B380="","",Dados!B380)</f>
        <v>8</v>
      </c>
    </row>
    <row r="380" spans="17:17" x14ac:dyDescent="0.3">
      <c r="Q380" s="32">
        <f>IF(Dados!B381="","",Dados!B381)</f>
        <v>8</v>
      </c>
    </row>
    <row r="381" spans="17:17" x14ac:dyDescent="0.3">
      <c r="Q381" s="32">
        <f>IF(Dados!B382="","",Dados!B382)</f>
        <v>11</v>
      </c>
    </row>
    <row r="382" spans="17:17" x14ac:dyDescent="0.3">
      <c r="Q382" s="32">
        <f>IF(Dados!B383="","",Dados!B383)</f>
        <v>11</v>
      </c>
    </row>
    <row r="383" spans="17:17" x14ac:dyDescent="0.3">
      <c r="Q383" s="32">
        <f>IF(Dados!B384="","",Dados!B384)</f>
        <v>11</v>
      </c>
    </row>
    <row r="384" spans="17:17" x14ac:dyDescent="0.3">
      <c r="Q384" s="32">
        <f>IF(Dados!B385="","",Dados!B385)</f>
        <v>11</v>
      </c>
    </row>
    <row r="385" spans="17:17" x14ac:dyDescent="0.3">
      <c r="Q385" s="32">
        <f>IF(Dados!B386="","",Dados!B386)</f>
        <v>12</v>
      </c>
    </row>
    <row r="386" spans="17:17" x14ac:dyDescent="0.3">
      <c r="Q386" s="32">
        <f>IF(Dados!B387="","",Dados!B387)</f>
        <v>14</v>
      </c>
    </row>
    <row r="387" spans="17:17" x14ac:dyDescent="0.3">
      <c r="Q387" s="32">
        <f>IF(Dados!B388="","",Dados!B388)</f>
        <v>11</v>
      </c>
    </row>
    <row r="388" spans="17:17" x14ac:dyDescent="0.3">
      <c r="Q388" s="32">
        <f>IF(Dados!B389="","",Dados!B389)</f>
        <v>7</v>
      </c>
    </row>
    <row r="389" spans="17:17" x14ac:dyDescent="0.3">
      <c r="Q389" s="32">
        <f>IF(Dados!B390="","",Dados!B390)</f>
        <v>7</v>
      </c>
    </row>
    <row r="390" spans="17:17" x14ac:dyDescent="0.3">
      <c r="Q390" s="32">
        <f>IF(Dados!B391="","",Dados!B391)</f>
        <v>7.5</v>
      </c>
    </row>
    <row r="391" spans="17:17" x14ac:dyDescent="0.3">
      <c r="Q391" s="32">
        <f>IF(Dados!B392="","",Dados!B392)</f>
        <v>7</v>
      </c>
    </row>
    <row r="392" spans="17:17" x14ac:dyDescent="0.3">
      <c r="Q392" s="32">
        <f>IF(Dados!B393="","",Dados!B393)</f>
        <v>7</v>
      </c>
    </row>
    <row r="393" spans="17:17" x14ac:dyDescent="0.3">
      <c r="Q393" s="32">
        <f>IF(Dados!B394="","",Dados!B394)</f>
        <v>7</v>
      </c>
    </row>
    <row r="394" spans="17:17" x14ac:dyDescent="0.3">
      <c r="Q394" s="32">
        <f>IF(Dados!B395="","",Dados!B395)</f>
        <v>4.5</v>
      </c>
    </row>
    <row r="395" spans="17:17" x14ac:dyDescent="0.3">
      <c r="Q395" s="32">
        <f>IF(Dados!B396="","",Dados!B396)</f>
        <v>5</v>
      </c>
    </row>
    <row r="396" spans="17:17" x14ac:dyDescent="0.3">
      <c r="Q396" s="32">
        <f>IF(Dados!B397="","",Dados!B397)</f>
        <v>6.5</v>
      </c>
    </row>
    <row r="397" spans="17:17" x14ac:dyDescent="0.3">
      <c r="Q397" s="32">
        <f>IF(Dados!B398="","",Dados!B398)</f>
        <v>6</v>
      </c>
    </row>
    <row r="398" spans="17:17" x14ac:dyDescent="0.3">
      <c r="Q398" s="32">
        <f>IF(Dados!B399="","",Dados!B399)</f>
        <v>5</v>
      </c>
    </row>
    <row r="399" spans="17:17" x14ac:dyDescent="0.3">
      <c r="Q399" s="32">
        <f>IF(Dados!B400="","",Dados!B400)</f>
        <v>10</v>
      </c>
    </row>
    <row r="400" spans="17:17" x14ac:dyDescent="0.3">
      <c r="Q400" s="32">
        <f>IF(Dados!B401="","",Dados!B401)</f>
        <v>10</v>
      </c>
    </row>
    <row r="401" spans="17:17" x14ac:dyDescent="0.3">
      <c r="Q401" s="32">
        <f>IF(Dados!B402="","",Dados!B402)</f>
        <v>8</v>
      </c>
    </row>
    <row r="402" spans="17:17" x14ac:dyDescent="0.3">
      <c r="Q402" s="32">
        <f>IF(Dados!B403="","",Dados!B403)</f>
        <v>8</v>
      </c>
    </row>
    <row r="403" spans="17:17" x14ac:dyDescent="0.3">
      <c r="Q403" s="32">
        <f>IF(Dados!B404="","",Dados!B404)</f>
        <v>10</v>
      </c>
    </row>
    <row r="404" spans="17:17" x14ac:dyDescent="0.3">
      <c r="Q404" s="32">
        <f>IF(Dados!B405="","",Dados!B405)</f>
        <v>8</v>
      </c>
    </row>
    <row r="405" spans="17:17" x14ac:dyDescent="0.3">
      <c r="Q405" s="32">
        <f>IF(Dados!B406="","",Dados!B406)</f>
        <v>9</v>
      </c>
    </row>
    <row r="406" spans="17:17" x14ac:dyDescent="0.3">
      <c r="Q406" s="32">
        <f>IF(Dados!B407="","",Dados!B407)</f>
        <v>9</v>
      </c>
    </row>
    <row r="407" spans="17:17" x14ac:dyDescent="0.3">
      <c r="Q407" s="32">
        <f>IF(Dados!B408="","",Dados!B408)</f>
        <v>8.5</v>
      </c>
    </row>
    <row r="408" spans="17:17" x14ac:dyDescent="0.3">
      <c r="Q408" s="32">
        <f>IF(Dados!B409="","",Dados!B409)</f>
        <v>11</v>
      </c>
    </row>
    <row r="409" spans="17:17" x14ac:dyDescent="0.3">
      <c r="Q409" s="32">
        <f>IF(Dados!B410="","",Dados!B410)</f>
        <v>11</v>
      </c>
    </row>
    <row r="410" spans="17:17" x14ac:dyDescent="0.3">
      <c r="Q410" s="32">
        <f>IF(Dados!B411="","",Dados!B411)</f>
        <v>13</v>
      </c>
    </row>
    <row r="411" spans="17:17" x14ac:dyDescent="0.3">
      <c r="Q411" s="32">
        <f>IF(Dados!B412="","",Dados!B412)</f>
        <v>7.5</v>
      </c>
    </row>
    <row r="412" spans="17:17" x14ac:dyDescent="0.3">
      <c r="Q412" s="32">
        <f>IF(Dados!B413="","",Dados!B413)</f>
        <v>7.5</v>
      </c>
    </row>
    <row r="413" spans="17:17" x14ac:dyDescent="0.3">
      <c r="Q413" s="32">
        <f>IF(Dados!B414="","",Dados!B414)</f>
        <v>6</v>
      </c>
    </row>
    <row r="414" spans="17:17" x14ac:dyDescent="0.3">
      <c r="Q414" s="32">
        <f>IF(Dados!B415="","",Dados!B415)</f>
        <v>6</v>
      </c>
    </row>
    <row r="415" spans="17:17" x14ac:dyDescent="0.3">
      <c r="Q415" s="32">
        <f>IF(Dados!B416="","",Dados!B416)</f>
        <v>2</v>
      </c>
    </row>
    <row r="416" spans="17:17" x14ac:dyDescent="0.3">
      <c r="Q416" s="32">
        <f>IF(Dados!B417="","",Dados!B417)</f>
        <v>5</v>
      </c>
    </row>
    <row r="417" spans="17:17" x14ac:dyDescent="0.3">
      <c r="Q417" s="32">
        <f>IF(Dados!B418="","",Dados!B418)</f>
        <v>4.5</v>
      </c>
    </row>
    <row r="418" spans="17:17" x14ac:dyDescent="0.3">
      <c r="Q418" s="32">
        <f>IF(Dados!B419="","",Dados!B419)</f>
        <v>4</v>
      </c>
    </row>
    <row r="419" spans="17:17" x14ac:dyDescent="0.3">
      <c r="Q419" s="32">
        <f>IF(Dados!B420="","",Dados!B420)</f>
        <v>4.5</v>
      </c>
    </row>
    <row r="420" spans="17:17" x14ac:dyDescent="0.3">
      <c r="Q420" s="32">
        <f>IF(Dados!B421="","",Dados!B421)</f>
        <v>4</v>
      </c>
    </row>
    <row r="421" spans="17:17" x14ac:dyDescent="0.3">
      <c r="Q421" s="32">
        <f>IF(Dados!B422="","",Dados!B422)</f>
        <v>10</v>
      </c>
    </row>
    <row r="422" spans="17:17" x14ac:dyDescent="0.3">
      <c r="Q422" s="32">
        <f>IF(Dados!B423="","",Dados!B423)</f>
        <v>10</v>
      </c>
    </row>
    <row r="423" spans="17:17" x14ac:dyDescent="0.3">
      <c r="Q423" s="32">
        <f>IF(Dados!B424="","",Dados!B424)</f>
        <v>8</v>
      </c>
    </row>
    <row r="424" spans="17:17" x14ac:dyDescent="0.3">
      <c r="Q424" s="32">
        <f>IF(Dados!B425="","",Dados!B425)</f>
        <v>9</v>
      </c>
    </row>
    <row r="425" spans="17:17" x14ac:dyDescent="0.3">
      <c r="Q425" s="32">
        <f>IF(Dados!B426="","",Dados!B426)</f>
        <v>10</v>
      </c>
    </row>
    <row r="426" spans="17:17" x14ac:dyDescent="0.3">
      <c r="Q426" s="32">
        <f>IF(Dados!B427="","",Dados!B427)</f>
        <v>8</v>
      </c>
    </row>
    <row r="427" spans="17:17" x14ac:dyDescent="0.3">
      <c r="Q427" s="32">
        <f>IF(Dados!B428="","",Dados!B428)</f>
        <v>14</v>
      </c>
    </row>
    <row r="428" spans="17:17" x14ac:dyDescent="0.3">
      <c r="Q428" s="32">
        <f>IF(Dados!B429="","",Dados!B429)</f>
        <v>11</v>
      </c>
    </row>
    <row r="429" spans="17:17" x14ac:dyDescent="0.3">
      <c r="Q429" s="32">
        <f>IF(Dados!B430="","",Dados!B430)</f>
        <v>7</v>
      </c>
    </row>
    <row r="430" spans="17:17" x14ac:dyDescent="0.3">
      <c r="Q430" s="32">
        <f>IF(Dados!B431="","",Dados!B431)</f>
        <v>7.5</v>
      </c>
    </row>
    <row r="431" spans="17:17" x14ac:dyDescent="0.3">
      <c r="Q431" s="32">
        <f>IF(Dados!B432="","",Dados!B432)</f>
        <v>7</v>
      </c>
    </row>
    <row r="432" spans="17:17" x14ac:dyDescent="0.3">
      <c r="Q432" s="32">
        <f>IF(Dados!B433="","",Dados!B433)</f>
        <v>7</v>
      </c>
    </row>
    <row r="433" spans="17:17" x14ac:dyDescent="0.3">
      <c r="Q433" s="32">
        <f>IF(Dados!B434="","",Dados!B434)</f>
        <v>4</v>
      </c>
    </row>
    <row r="434" spans="17:17" x14ac:dyDescent="0.3">
      <c r="Q434" s="32">
        <f>IF(Dados!B435="","",Dados!B435)</f>
        <v>5</v>
      </c>
    </row>
    <row r="435" spans="17:17" x14ac:dyDescent="0.3">
      <c r="Q435" s="32">
        <f>IF(Dados!B436="","",Dados!B436)</f>
        <v>4.5</v>
      </c>
    </row>
    <row r="436" spans="17:17" x14ac:dyDescent="0.3">
      <c r="Q436" s="32">
        <f>IF(Dados!B437="","",Dados!B437)</f>
        <v>5.5</v>
      </c>
    </row>
    <row r="437" spans="17:17" x14ac:dyDescent="0.3">
      <c r="Q437" s="32">
        <f>IF(Dados!B438="","",Dados!B438)</f>
        <v>4</v>
      </c>
    </row>
    <row r="438" spans="17:17" x14ac:dyDescent="0.3">
      <c r="Q438" s="32">
        <f>IF(Dados!B439="","",Dados!B439)</f>
        <v>6</v>
      </c>
    </row>
    <row r="439" spans="17:17" x14ac:dyDescent="0.3">
      <c r="Q439" s="32">
        <f>IF(Dados!B440="","",Dados!B440)</f>
        <v>10</v>
      </c>
    </row>
    <row r="440" spans="17:17" x14ac:dyDescent="0.3">
      <c r="Q440" s="32">
        <f>IF(Dados!B441="","",Dados!B441)</f>
        <v>10</v>
      </c>
    </row>
    <row r="441" spans="17:17" x14ac:dyDescent="0.3">
      <c r="Q441" s="32">
        <f>IF(Dados!B442="","",Dados!B442)</f>
        <v>10</v>
      </c>
    </row>
    <row r="442" spans="17:17" x14ac:dyDescent="0.3">
      <c r="Q442" s="32">
        <f>IF(Dados!B443="","",Dados!B443)</f>
        <v>10</v>
      </c>
    </row>
    <row r="443" spans="17:17" x14ac:dyDescent="0.3">
      <c r="Q443" s="32">
        <f>IF(Dados!B444="","",Dados!B444)</f>
        <v>9</v>
      </c>
    </row>
    <row r="444" spans="17:17" x14ac:dyDescent="0.3">
      <c r="Q444" s="32">
        <f>IF(Dados!B445="","",Dados!B445)</f>
        <v>10</v>
      </c>
    </row>
    <row r="445" spans="17:17" x14ac:dyDescent="0.3">
      <c r="Q445" s="32">
        <f>IF(Dados!B446="","",Dados!B446)</f>
        <v>9</v>
      </c>
    </row>
    <row r="446" spans="17:17" x14ac:dyDescent="0.3">
      <c r="Q446" s="32">
        <f>IF(Dados!B447="","",Dados!B447)</f>
        <v>8</v>
      </c>
    </row>
    <row r="447" spans="17:17" x14ac:dyDescent="0.3">
      <c r="Q447" s="32">
        <f>IF(Dados!B448="","",Dados!B448)</f>
        <v>9</v>
      </c>
    </row>
    <row r="448" spans="17:17" x14ac:dyDescent="0.3">
      <c r="Q448" s="32">
        <f>IF(Dados!B449="","",Dados!B449)</f>
        <v>13</v>
      </c>
    </row>
    <row r="449" spans="17:17" x14ac:dyDescent="0.3">
      <c r="Q449" s="32">
        <f>IF(Dados!B450="","",Dados!B450)</f>
        <v>11</v>
      </c>
    </row>
    <row r="450" spans="17:17" x14ac:dyDescent="0.3">
      <c r="Q450" s="32">
        <f>IF(Dados!B451="","",Dados!B451)</f>
        <v>14</v>
      </c>
    </row>
    <row r="451" spans="17:17" x14ac:dyDescent="0.3">
      <c r="Q451" s="32">
        <f>IF(Dados!B452="","",Dados!B452)</f>
        <v>4</v>
      </c>
    </row>
    <row r="452" spans="17:17" x14ac:dyDescent="0.3">
      <c r="Q452" s="32">
        <f>IF(Dados!B453="","",Dados!B453)</f>
        <v>5.5</v>
      </c>
    </row>
    <row r="453" spans="17:17" x14ac:dyDescent="0.3">
      <c r="Q453" s="32">
        <f>IF(Dados!B454="","",Dados!B454)</f>
        <v>5</v>
      </c>
    </row>
    <row r="454" spans="17:17" x14ac:dyDescent="0.3">
      <c r="Q454" s="32">
        <f>IF(Dados!B455="","",Dados!B455)</f>
        <v>4</v>
      </c>
    </row>
    <row r="455" spans="17:17" x14ac:dyDescent="0.3">
      <c r="Q455" s="32">
        <f>IF(Dados!B456="","",Dados!B456)</f>
        <v>5</v>
      </c>
    </row>
    <row r="456" spans="17:17" x14ac:dyDescent="0.3">
      <c r="Q456" s="32">
        <f>IF(Dados!B457="","",Dados!B457)</f>
        <v>3.5</v>
      </c>
    </row>
    <row r="457" spans="17:17" x14ac:dyDescent="0.3">
      <c r="Q457" s="32">
        <f>IF(Dados!B458="","",Dados!B458)</f>
        <v>5</v>
      </c>
    </row>
    <row r="458" spans="17:17" x14ac:dyDescent="0.3">
      <c r="Q458" s="32">
        <f>IF(Dados!B459="","",Dados!B459)</f>
        <v>10</v>
      </c>
    </row>
    <row r="459" spans="17:17" x14ac:dyDescent="0.3">
      <c r="Q459" s="32">
        <f>IF(Dados!B460="","",Dados!B460)</f>
        <v>8</v>
      </c>
    </row>
    <row r="460" spans="17:17" x14ac:dyDescent="0.3">
      <c r="Q460" s="32">
        <f>IF(Dados!B461="","",Dados!B461)</f>
        <v>8.5</v>
      </c>
    </row>
    <row r="461" spans="17:17" x14ac:dyDescent="0.3">
      <c r="Q461" s="32">
        <f>IF(Dados!B462="","",Dados!B462)</f>
        <v>8</v>
      </c>
    </row>
    <row r="462" spans="17:17" x14ac:dyDescent="0.3">
      <c r="Q462" s="32">
        <f>IF(Dados!B463="","",Dados!B463)</f>
        <v>10</v>
      </c>
    </row>
    <row r="463" spans="17:17" x14ac:dyDescent="0.3">
      <c r="Q463" s="32">
        <f>IF(Dados!B464="","",Dados!B464)</f>
        <v>10</v>
      </c>
    </row>
    <row r="464" spans="17:17" x14ac:dyDescent="0.3">
      <c r="Q464" s="32">
        <f>IF(Dados!B465="","",Dados!B465)</f>
        <v>9</v>
      </c>
    </row>
    <row r="465" spans="17:17" x14ac:dyDescent="0.3">
      <c r="Q465" s="32">
        <f>IF(Dados!B466="","",Dados!B466)</f>
        <v>8.5</v>
      </c>
    </row>
    <row r="466" spans="17:17" x14ac:dyDescent="0.3">
      <c r="Q466" s="32">
        <f>IF(Dados!B467="","",Dados!B467)</f>
        <v>9.5</v>
      </c>
    </row>
    <row r="467" spans="17:17" x14ac:dyDescent="0.3">
      <c r="Q467" s="32">
        <f>IF(Dados!B468="","",Dados!B468)</f>
        <v>10</v>
      </c>
    </row>
    <row r="468" spans="17:17" x14ac:dyDescent="0.3">
      <c r="Q468" s="32">
        <f>IF(Dados!B469="","",Dados!B469)</f>
        <v>11</v>
      </c>
    </row>
    <row r="469" spans="17:17" x14ac:dyDescent="0.3">
      <c r="Q469" s="32">
        <f>IF(Dados!B470="","",Dados!B470)</f>
        <v>7</v>
      </c>
    </row>
    <row r="470" spans="17:17" x14ac:dyDescent="0.3">
      <c r="Q470" s="32">
        <f>IF(Dados!B471="","",Dados!B471)</f>
        <v>6</v>
      </c>
    </row>
    <row r="471" spans="17:17" x14ac:dyDescent="0.3">
      <c r="Q471" s="32">
        <f>IF(Dados!B472="","",Dados!B472)</f>
        <v>3</v>
      </c>
    </row>
    <row r="472" spans="17:17" x14ac:dyDescent="0.3">
      <c r="Q472" s="32">
        <f>IF(Dados!B473="","",Dados!B473)</f>
        <v>6</v>
      </c>
    </row>
    <row r="473" spans="17:17" x14ac:dyDescent="0.3">
      <c r="Q473" s="32">
        <f>IF(Dados!B474="","",Dados!B474)</f>
        <v>6.5</v>
      </c>
    </row>
    <row r="474" spans="17:17" x14ac:dyDescent="0.3">
      <c r="Q474" s="32">
        <f>IF(Dados!B475="","",Dados!B475)</f>
        <v>5</v>
      </c>
    </row>
    <row r="475" spans="17:17" x14ac:dyDescent="0.3">
      <c r="Q475" s="32">
        <f>IF(Dados!B476="","",Dados!B476)</f>
        <v>5</v>
      </c>
    </row>
    <row r="476" spans="17:17" x14ac:dyDescent="0.3">
      <c r="Q476" s="32">
        <f>IF(Dados!B477="","",Dados!B477)</f>
        <v>6</v>
      </c>
    </row>
    <row r="477" spans="17:17" x14ac:dyDescent="0.3">
      <c r="Q477" s="32">
        <f>IF(Dados!B478="","",Dados!B478)</f>
        <v>5</v>
      </c>
    </row>
    <row r="478" spans="17:17" x14ac:dyDescent="0.3">
      <c r="Q478" s="32">
        <f>IF(Dados!B479="","",Dados!B479)</f>
        <v>5</v>
      </c>
    </row>
    <row r="479" spans="17:17" x14ac:dyDescent="0.3">
      <c r="Q479" s="32">
        <f>IF(Dados!B480="","",Dados!B480)</f>
        <v>4.5</v>
      </c>
    </row>
    <row r="480" spans="17:17" x14ac:dyDescent="0.3">
      <c r="Q480" s="32">
        <f>IF(Dados!B481="","",Dados!B481)</f>
        <v>5</v>
      </c>
    </row>
    <row r="481" spans="17:17" x14ac:dyDescent="0.3">
      <c r="Q481" s="32">
        <f>IF(Dados!B482="","",Dados!B482)</f>
        <v>5</v>
      </c>
    </row>
    <row r="482" spans="17:17" x14ac:dyDescent="0.3">
      <c r="Q482" s="32">
        <f>IF(Dados!B483="","",Dados!B483)</f>
        <v>3</v>
      </c>
    </row>
    <row r="483" spans="17:17" x14ac:dyDescent="0.3">
      <c r="Q483" s="32">
        <f>IF(Dados!B484="","",Dados!B484)</f>
        <v>9</v>
      </c>
    </row>
    <row r="484" spans="17:17" x14ac:dyDescent="0.3">
      <c r="Q484" s="32">
        <f>IF(Dados!B485="","",Dados!B485)</f>
        <v>9</v>
      </c>
    </row>
    <row r="485" spans="17:17" x14ac:dyDescent="0.3">
      <c r="Q485" s="32">
        <f>IF(Dados!B486="","",Dados!B486)</f>
        <v>9</v>
      </c>
    </row>
    <row r="486" spans="17:17" x14ac:dyDescent="0.3">
      <c r="Q486" s="32">
        <f>IF(Dados!B487="","",Dados!B487)</f>
        <v>8</v>
      </c>
    </row>
    <row r="487" spans="17:17" x14ac:dyDescent="0.3">
      <c r="Q487" s="32">
        <f>IF(Dados!B488="","",Dados!B488)</f>
        <v>8</v>
      </c>
    </row>
    <row r="488" spans="17:17" x14ac:dyDescent="0.3">
      <c r="Q488" s="32">
        <f>IF(Dados!B489="","",Dados!B489)</f>
        <v>12</v>
      </c>
    </row>
    <row r="489" spans="17:17" x14ac:dyDescent="0.3">
      <c r="Q489" s="32">
        <f>IF(Dados!B490="","",Dados!B490)</f>
        <v>13</v>
      </c>
    </row>
    <row r="490" spans="17:17" x14ac:dyDescent="0.3">
      <c r="Q490" s="32">
        <f>IF(Dados!B491="","",Dados!B491)</f>
        <v>13</v>
      </c>
    </row>
    <row r="491" spans="17:17" x14ac:dyDescent="0.3">
      <c r="Q491" s="32">
        <f>IF(Dados!B492="","",Dados!B492)</f>
        <v>7</v>
      </c>
    </row>
    <row r="492" spans="17:17" x14ac:dyDescent="0.3">
      <c r="Q492" s="32">
        <f>IF(Dados!B493="","",Dados!B493)</f>
        <v>7</v>
      </c>
    </row>
    <row r="493" spans="17:17" x14ac:dyDescent="0.3">
      <c r="Q493" s="32">
        <f>IF(Dados!B494="","",Dados!B494)</f>
        <v>6.5</v>
      </c>
    </row>
    <row r="494" spans="17:17" x14ac:dyDescent="0.3">
      <c r="Q494" s="32">
        <f>IF(Dados!B495="","",Dados!B495)</f>
        <v>6</v>
      </c>
    </row>
    <row r="495" spans="17:17" x14ac:dyDescent="0.3">
      <c r="Q495" s="32">
        <f>IF(Dados!B496="","",Dados!B496)</f>
        <v>5</v>
      </c>
    </row>
    <row r="496" spans="17:17" x14ac:dyDescent="0.3">
      <c r="Q496" s="32">
        <f>IF(Dados!B497="","",Dados!B497)</f>
        <v>3.5</v>
      </c>
    </row>
    <row r="497" spans="17:17" x14ac:dyDescent="0.3">
      <c r="Q497" s="32">
        <f>IF(Dados!B498="","",Dados!B498)</f>
        <v>4</v>
      </c>
    </row>
    <row r="498" spans="17:17" x14ac:dyDescent="0.3">
      <c r="Q498" s="32">
        <f>IF(Dados!B499="","",Dados!B499)</f>
        <v>9</v>
      </c>
    </row>
    <row r="499" spans="17:17" x14ac:dyDescent="0.3">
      <c r="Q499" s="32">
        <f>IF(Dados!B500="","",Dados!B500)</f>
        <v>8</v>
      </c>
    </row>
    <row r="500" spans="17:17" x14ac:dyDescent="0.3">
      <c r="Q500" s="32">
        <f>IF(Dados!B501="","",Dados!B501)</f>
        <v>13</v>
      </c>
    </row>
    <row r="501" spans="17:17" x14ac:dyDescent="0.3">
      <c r="Q501" s="32">
        <f>IF(Dados!B502="","",Dados!B502)</f>
        <v>13</v>
      </c>
    </row>
  </sheetData>
  <sheetProtection selectLockedCells="1"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11EBB-279B-4B44-9F33-D5C7B65D5F6F}">
  <dimension ref="A1:AX610"/>
  <sheetViews>
    <sheetView zoomScaleNormal="100" workbookViewId="0">
      <selection activeCell="N14" sqref="N14"/>
    </sheetView>
  </sheetViews>
  <sheetFormatPr defaultRowHeight="14.4" x14ac:dyDescent="0.3"/>
  <cols>
    <col min="13" max="13" width="8.88671875" style="7"/>
    <col min="14" max="14" width="8.88671875" style="12"/>
    <col min="15" max="16" width="8.88671875" style="9"/>
    <col min="17" max="17" width="8.88671875" style="7"/>
    <col min="18" max="18" width="5.21875" style="32" customWidth="1"/>
    <col min="19" max="19" width="21" style="32" customWidth="1"/>
    <col min="20" max="20" width="8.88671875" style="7"/>
    <col min="21" max="21" width="8.88671875" style="30"/>
    <col min="22" max="50" width="8.88671875" style="7"/>
  </cols>
  <sheetData>
    <row r="1" spans="1:21" x14ac:dyDescent="0.3">
      <c r="A1" s="3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R1" s="32" t="s">
        <v>9</v>
      </c>
      <c r="S1" s="31" t="s">
        <v>12</v>
      </c>
      <c r="T1" s="32" t="s">
        <v>18</v>
      </c>
      <c r="U1" s="30" t="s">
        <v>19</v>
      </c>
    </row>
    <row r="2" spans="1:2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R2" s="32">
        <f>IF(Dados!A3="","",Dados!A3)</f>
        <v>19.600000000000001</v>
      </c>
      <c r="S2" s="32">
        <v>19.989999999999998</v>
      </c>
      <c r="T2" s="32" cm="1">
        <f t="array" ref="T2:T14">FREQUENCY(R2:R501,S2:S13)</f>
        <v>56</v>
      </c>
      <c r="U2" s="32" t="s">
        <v>4</v>
      </c>
    </row>
    <row r="3" spans="1:2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R3" s="32">
        <f>IF(Dados!A4="","",Dados!A4)</f>
        <v>22.1</v>
      </c>
      <c r="S3" s="32">
        <v>29.99</v>
      </c>
      <c r="T3" s="32">
        <v>113</v>
      </c>
      <c r="U3" s="32" t="s">
        <v>47</v>
      </c>
    </row>
    <row r="4" spans="1:21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R4" s="32">
        <f>IF(Dados!A5="","",Dados!A5)</f>
        <v>18.100000000000001</v>
      </c>
      <c r="S4" s="32">
        <v>39.99</v>
      </c>
      <c r="T4" s="32">
        <v>68</v>
      </c>
      <c r="U4" s="32" t="s">
        <v>48</v>
      </c>
    </row>
    <row r="5" spans="1:2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R5" s="32">
        <f>IF(Dados!A6="","",Dados!A6)</f>
        <v>23.4</v>
      </c>
      <c r="S5" s="32">
        <v>49.99</v>
      </c>
      <c r="T5" s="32">
        <v>47</v>
      </c>
      <c r="U5" s="32" t="s">
        <v>49</v>
      </c>
    </row>
    <row r="6" spans="1:21" x14ac:dyDescent="0.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R6" s="32">
        <f>IF(Dados!A7="","",Dados!A7)</f>
        <v>27</v>
      </c>
      <c r="S6" s="32">
        <v>59.99</v>
      </c>
      <c r="T6" s="32">
        <v>50</v>
      </c>
      <c r="U6" s="32" t="s">
        <v>50</v>
      </c>
    </row>
    <row r="7" spans="1:21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R7" s="32">
        <f>IF(Dados!A8="","",Dados!A8)</f>
        <v>29.8</v>
      </c>
      <c r="S7" s="32">
        <v>69.989999999999995</v>
      </c>
      <c r="T7" s="32">
        <v>42</v>
      </c>
      <c r="U7" s="32" t="s">
        <v>51</v>
      </c>
    </row>
    <row r="8" spans="1:21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R8" s="32">
        <f>IF(Dados!A9="","",Dados!A9)</f>
        <v>56.4</v>
      </c>
      <c r="S8" s="32">
        <v>79.989999999999995</v>
      </c>
      <c r="T8" s="32">
        <v>27</v>
      </c>
      <c r="U8" s="32" t="s">
        <v>52</v>
      </c>
    </row>
    <row r="9" spans="1:2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R9" s="32">
        <f>IF(Dados!A10="","",Dados!A10)</f>
        <v>28.7</v>
      </c>
      <c r="S9" s="32">
        <v>89.99</v>
      </c>
      <c r="T9" s="32">
        <v>32</v>
      </c>
      <c r="U9" s="32" t="s">
        <v>53</v>
      </c>
    </row>
    <row r="10" spans="1:21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R10" s="32">
        <f>IF(Dados!A11="","",Dados!A11)</f>
        <v>16.600000000000001</v>
      </c>
      <c r="S10" s="32">
        <v>99.99</v>
      </c>
      <c r="T10" s="32">
        <v>20</v>
      </c>
      <c r="U10" s="32" t="s">
        <v>54</v>
      </c>
    </row>
    <row r="11" spans="1:2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R11" s="32">
        <f>IF(Dados!A12="","",Dados!A12)</f>
        <v>22</v>
      </c>
      <c r="S11" s="32">
        <v>149.99</v>
      </c>
      <c r="T11" s="32">
        <v>39</v>
      </c>
      <c r="U11" s="32" t="s">
        <v>5</v>
      </c>
    </row>
    <row r="12" spans="1:2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R12" s="32">
        <f>IF(Dados!A13="","",Dados!A13)</f>
        <v>45</v>
      </c>
      <c r="S12" s="32">
        <v>199.99</v>
      </c>
      <c r="T12" s="32">
        <v>6</v>
      </c>
      <c r="U12" s="32" t="s">
        <v>6</v>
      </c>
    </row>
    <row r="13" spans="1:2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R13" s="32">
        <f>IF(Dados!A14="","",Dados!A14)</f>
        <v>52</v>
      </c>
      <c r="S13" s="32">
        <v>300</v>
      </c>
      <c r="T13" s="32">
        <v>0</v>
      </c>
      <c r="U13" s="32" t="s">
        <v>7</v>
      </c>
    </row>
    <row r="14" spans="1:2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R14" s="32">
        <f>IF(Dados!A15="","",Dados!A15)</f>
        <v>21.5</v>
      </c>
      <c r="T14" s="7">
        <v>0</v>
      </c>
    </row>
    <row r="15" spans="1:2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R15" s="32">
        <f>IF(Dados!A16="","",Dados!A16)</f>
        <v>46.5</v>
      </c>
    </row>
    <row r="16" spans="1:2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R16" s="32">
        <f>IF(Dados!A17="","",Dados!A17)</f>
        <v>149.5</v>
      </c>
    </row>
    <row r="17" spans="1:2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R17" s="32">
        <f>IF(Dados!A18="","",Dados!A18)</f>
        <v>53.1</v>
      </c>
    </row>
    <row r="18" spans="1:2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R18" s="32">
        <f>IF(Dados!A19="","",Dados!A19)</f>
        <v>96.4</v>
      </c>
    </row>
    <row r="19" spans="1:2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R19" s="32">
        <f>IF(Dados!A20="","",Dados!A20)</f>
        <v>69</v>
      </c>
    </row>
    <row r="20" spans="1:2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R20" s="32">
        <f>IF(Dados!A21="","",Dados!A21)</f>
        <v>24</v>
      </c>
    </row>
    <row r="21" spans="1:2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R21" s="32">
        <f>IF(Dados!A22="","",Dados!A22)</f>
        <v>56.8</v>
      </c>
    </row>
    <row r="22" spans="1:21" ht="15" thickBot="1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R22" s="32">
        <f>IF(Dados!A23="","",Dados!A23)</f>
        <v>36.799999999999997</v>
      </c>
    </row>
    <row r="23" spans="1:2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48" t="s">
        <v>16</v>
      </c>
      <c r="L23" s="49">
        <f>MIN(R2:R501)</f>
        <v>14.4</v>
      </c>
      <c r="R23" s="32">
        <f>IF(Dados!A24="","",Dados!A24)</f>
        <v>23.2</v>
      </c>
    </row>
    <row r="24" spans="1:21" ht="15" thickBot="1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50" t="s">
        <v>17</v>
      </c>
      <c r="L24" s="51">
        <f>MAX(R2:R501)</f>
        <v>186</v>
      </c>
      <c r="R24" s="32">
        <f>IF(Dados!A25="","",Dados!A25)</f>
        <v>18.5</v>
      </c>
    </row>
    <row r="25" spans="1:21" s="7" customFormat="1" x14ac:dyDescent="0.3">
      <c r="N25" s="12"/>
      <c r="O25" s="9"/>
      <c r="P25" s="9"/>
      <c r="R25" s="32">
        <f>IF(Dados!A26="","",Dados!A26)</f>
        <v>18</v>
      </c>
      <c r="S25" s="32"/>
      <c r="U25" s="30"/>
    </row>
    <row r="26" spans="1:21" s="7" customFormat="1" x14ac:dyDescent="0.3">
      <c r="N26" s="12"/>
      <c r="O26" s="9"/>
      <c r="P26" s="9"/>
      <c r="R26" s="32">
        <f>IF(Dados!A27="","",Dados!A27)</f>
        <v>17.2</v>
      </c>
      <c r="S26" s="32"/>
      <c r="U26" s="30"/>
    </row>
    <row r="27" spans="1:21" s="7" customFormat="1" x14ac:dyDescent="0.3">
      <c r="N27" s="12"/>
      <c r="O27" s="9"/>
      <c r="P27" s="9"/>
      <c r="R27" s="32">
        <f>IF(Dados!A28="","",Dados!A28)</f>
        <v>19.600000000000001</v>
      </c>
      <c r="S27" s="32"/>
      <c r="U27" s="30"/>
    </row>
    <row r="28" spans="1:21" s="7" customFormat="1" x14ac:dyDescent="0.3">
      <c r="N28" s="12"/>
      <c r="O28" s="9"/>
      <c r="P28" s="9"/>
      <c r="R28" s="32">
        <f>IF(Dados!A29="","",Dados!A29)</f>
        <v>18</v>
      </c>
      <c r="S28" s="32"/>
      <c r="U28" s="30"/>
    </row>
    <row r="29" spans="1:21" s="7" customFormat="1" x14ac:dyDescent="0.3">
      <c r="N29" s="12"/>
      <c r="O29" s="9"/>
      <c r="P29" s="9"/>
      <c r="R29" s="32">
        <f>IF(Dados!A30="","",Dados!A30)</f>
        <v>52</v>
      </c>
      <c r="S29" s="32"/>
      <c r="U29" s="30"/>
    </row>
    <row r="30" spans="1:21" s="7" customFormat="1" x14ac:dyDescent="0.3">
      <c r="N30" s="12"/>
      <c r="O30" s="9"/>
      <c r="P30" s="9"/>
      <c r="R30" s="32">
        <f>IF(Dados!A31="","",Dados!A31)</f>
        <v>29</v>
      </c>
      <c r="S30" s="32"/>
      <c r="U30" s="30"/>
    </row>
    <row r="31" spans="1:21" s="7" customFormat="1" x14ac:dyDescent="0.3">
      <c r="N31" s="12"/>
      <c r="O31" s="9"/>
      <c r="P31" s="9"/>
      <c r="R31" s="32">
        <f>IF(Dados!A32="","",Dados!A32)</f>
        <v>46.5</v>
      </c>
      <c r="S31" s="32"/>
      <c r="U31" s="30"/>
    </row>
    <row r="32" spans="1:21" s="7" customFormat="1" x14ac:dyDescent="0.3">
      <c r="N32" s="12"/>
      <c r="O32" s="9"/>
      <c r="P32" s="9"/>
      <c r="R32" s="32">
        <f>IF(Dados!A33="","",Dados!A33)</f>
        <v>50.2</v>
      </c>
      <c r="S32" s="32"/>
      <c r="U32" s="30"/>
    </row>
    <row r="33" spans="14:21" s="7" customFormat="1" x14ac:dyDescent="0.3">
      <c r="N33" s="12"/>
      <c r="O33" s="9"/>
      <c r="P33" s="9"/>
      <c r="R33" s="32">
        <f>IF(Dados!A34="","",Dados!A34)</f>
        <v>39.5</v>
      </c>
      <c r="S33" s="32"/>
      <c r="U33" s="30"/>
    </row>
    <row r="34" spans="14:21" s="7" customFormat="1" x14ac:dyDescent="0.3">
      <c r="N34" s="12"/>
      <c r="O34" s="9"/>
      <c r="P34" s="9"/>
      <c r="R34" s="32">
        <f>IF(Dados!A35="","",Dados!A35)</f>
        <v>65.2</v>
      </c>
      <c r="S34" s="32"/>
      <c r="U34" s="30"/>
    </row>
    <row r="35" spans="14:21" s="7" customFormat="1" x14ac:dyDescent="0.3">
      <c r="N35" s="12"/>
      <c r="O35" s="9"/>
      <c r="P35" s="9"/>
      <c r="R35" s="32">
        <f>IF(Dados!A36="","",Dados!A36)</f>
        <v>85.2</v>
      </c>
      <c r="S35" s="32"/>
      <c r="U35" s="30"/>
    </row>
    <row r="36" spans="14:21" s="7" customFormat="1" x14ac:dyDescent="0.3">
      <c r="N36" s="12"/>
      <c r="O36" s="9"/>
      <c r="P36" s="9"/>
      <c r="R36" s="32">
        <f>IF(Dados!A37="","",Dados!A37)</f>
        <v>64.2</v>
      </c>
      <c r="S36" s="32"/>
      <c r="U36" s="30"/>
    </row>
    <row r="37" spans="14:21" s="7" customFormat="1" x14ac:dyDescent="0.3">
      <c r="N37" s="12"/>
      <c r="O37" s="9"/>
      <c r="P37" s="9"/>
      <c r="R37" s="32">
        <f>IF(Dados!A38="","",Dados!A38)</f>
        <v>85.2</v>
      </c>
      <c r="S37" s="32"/>
      <c r="U37" s="30"/>
    </row>
    <row r="38" spans="14:21" s="7" customFormat="1" x14ac:dyDescent="0.3">
      <c r="N38" s="12"/>
      <c r="O38" s="9"/>
      <c r="P38" s="9"/>
      <c r="R38" s="32">
        <f>IF(Dados!A39="","",Dados!A39)</f>
        <v>55.1</v>
      </c>
      <c r="S38" s="32"/>
      <c r="U38" s="30"/>
    </row>
    <row r="39" spans="14:21" s="7" customFormat="1" x14ac:dyDescent="0.3">
      <c r="N39" s="12"/>
      <c r="O39" s="9"/>
      <c r="P39" s="9"/>
      <c r="R39" s="32">
        <f>IF(Dados!A40="","",Dados!A40)</f>
        <v>77.5</v>
      </c>
      <c r="S39" s="32"/>
      <c r="U39" s="30"/>
    </row>
    <row r="40" spans="14:21" s="7" customFormat="1" x14ac:dyDescent="0.3">
      <c r="N40" s="12"/>
      <c r="O40" s="9"/>
      <c r="P40" s="9"/>
      <c r="R40" s="32">
        <f>IF(Dados!A41="","",Dados!A41)</f>
        <v>60</v>
      </c>
      <c r="S40" s="32"/>
      <c r="U40" s="30"/>
    </row>
    <row r="41" spans="14:21" s="7" customFormat="1" x14ac:dyDescent="0.3">
      <c r="N41" s="12"/>
      <c r="O41" s="9"/>
      <c r="P41" s="9"/>
      <c r="R41" s="32">
        <f>IF(Dados!A42="","",Dados!A42)</f>
        <v>76.5</v>
      </c>
      <c r="S41" s="32"/>
      <c r="U41" s="30"/>
    </row>
    <row r="42" spans="14:21" s="7" customFormat="1" x14ac:dyDescent="0.3">
      <c r="N42" s="12"/>
      <c r="O42" s="9"/>
      <c r="P42" s="9"/>
      <c r="R42" s="32">
        <f>IF(Dados!A43="","",Dados!A43)</f>
        <v>71.7</v>
      </c>
      <c r="S42" s="32"/>
      <c r="U42" s="30"/>
    </row>
    <row r="43" spans="14:21" s="7" customFormat="1" x14ac:dyDescent="0.3">
      <c r="N43" s="12"/>
      <c r="O43" s="9"/>
      <c r="P43" s="9"/>
      <c r="R43" s="32">
        <f>IF(Dados!A44="","",Dados!A44)</f>
        <v>92.5</v>
      </c>
      <c r="S43" s="32"/>
      <c r="U43" s="30"/>
    </row>
    <row r="44" spans="14:21" s="7" customFormat="1" x14ac:dyDescent="0.3">
      <c r="N44" s="12"/>
      <c r="O44" s="9"/>
      <c r="P44" s="9"/>
      <c r="R44" s="32">
        <f>IF(Dados!A45="","",Dados!A45)</f>
        <v>112.5</v>
      </c>
      <c r="S44" s="32"/>
      <c r="U44" s="30"/>
    </row>
    <row r="45" spans="14:21" s="7" customFormat="1" x14ac:dyDescent="0.3">
      <c r="N45" s="12"/>
      <c r="O45" s="9"/>
      <c r="P45" s="9"/>
      <c r="R45" s="32">
        <f>IF(Dados!A46="","",Dados!A46)</f>
        <v>59</v>
      </c>
      <c r="S45" s="32"/>
      <c r="U45" s="30"/>
    </row>
    <row r="46" spans="14:21" s="7" customFormat="1" x14ac:dyDescent="0.3">
      <c r="N46" s="12"/>
      <c r="O46" s="9"/>
      <c r="P46" s="9"/>
      <c r="R46" s="32">
        <f>IF(Dados!A47="","",Dados!A47)</f>
        <v>25.5</v>
      </c>
      <c r="S46" s="32"/>
      <c r="U46" s="30"/>
    </row>
    <row r="47" spans="14:21" s="7" customFormat="1" x14ac:dyDescent="0.3">
      <c r="N47" s="12"/>
      <c r="O47" s="9"/>
      <c r="P47" s="9"/>
      <c r="R47" s="32">
        <f>IF(Dados!A48="","",Dados!A48)</f>
        <v>26.1</v>
      </c>
      <c r="S47" s="32"/>
      <c r="U47" s="30"/>
    </row>
    <row r="48" spans="14:21" s="7" customFormat="1" x14ac:dyDescent="0.3">
      <c r="N48" s="12"/>
      <c r="O48" s="9"/>
      <c r="P48" s="9"/>
      <c r="R48" s="32">
        <f>IF(Dados!A49="","",Dados!A49)</f>
        <v>108.6</v>
      </c>
      <c r="S48" s="32"/>
      <c r="U48" s="30"/>
    </row>
    <row r="49" spans="14:21" s="7" customFormat="1" x14ac:dyDescent="0.3">
      <c r="N49" s="12"/>
      <c r="O49" s="9"/>
      <c r="P49" s="9"/>
      <c r="R49" s="32">
        <f>IF(Dados!A50="","",Dados!A50)</f>
        <v>72</v>
      </c>
      <c r="S49" s="32"/>
      <c r="U49" s="30"/>
    </row>
    <row r="50" spans="14:21" s="7" customFormat="1" x14ac:dyDescent="0.3">
      <c r="N50" s="12"/>
      <c r="O50" s="9"/>
      <c r="P50" s="9"/>
      <c r="R50" s="32">
        <f>IF(Dados!A51="","",Dados!A51)</f>
        <v>26.8</v>
      </c>
      <c r="S50" s="32"/>
      <c r="U50" s="30"/>
    </row>
    <row r="51" spans="14:21" s="7" customFormat="1" x14ac:dyDescent="0.3">
      <c r="N51" s="12"/>
      <c r="O51" s="9"/>
      <c r="P51" s="9"/>
      <c r="R51" s="32">
        <f>IF(Dados!A52="","",Dados!A52)</f>
        <v>49</v>
      </c>
      <c r="S51" s="32"/>
      <c r="U51" s="30"/>
    </row>
    <row r="52" spans="14:21" s="7" customFormat="1" x14ac:dyDescent="0.3">
      <c r="N52" s="12"/>
      <c r="O52" s="9"/>
      <c r="P52" s="9"/>
      <c r="R52" s="32">
        <f>IF(Dados!A53="","",Dados!A53)</f>
        <v>36.200000000000003</v>
      </c>
      <c r="S52" s="32"/>
      <c r="U52" s="30"/>
    </row>
    <row r="53" spans="14:21" x14ac:dyDescent="0.3">
      <c r="R53" s="32">
        <f>IF(Dados!A54="","",Dados!A54)</f>
        <v>49.4</v>
      </c>
    </row>
    <row r="54" spans="14:21" x14ac:dyDescent="0.3">
      <c r="R54" s="32">
        <f>IF(Dados!A55="","",Dados!A55)</f>
        <v>17.600000000000001</v>
      </c>
    </row>
    <row r="55" spans="14:21" x14ac:dyDescent="0.3">
      <c r="R55" s="32">
        <f>IF(Dados!A56="","",Dados!A56)</f>
        <v>53</v>
      </c>
    </row>
    <row r="56" spans="14:21" x14ac:dyDescent="0.3">
      <c r="R56" s="32">
        <f>IF(Dados!A57="","",Dados!A57)</f>
        <v>71.3</v>
      </c>
    </row>
    <row r="57" spans="14:21" x14ac:dyDescent="0.3">
      <c r="R57" s="32">
        <f>IF(Dados!A58="","",Dados!A58)</f>
        <v>20</v>
      </c>
    </row>
    <row r="58" spans="14:21" x14ac:dyDescent="0.3">
      <c r="R58" s="32">
        <f>IF(Dados!A59="","",Dados!A59)</f>
        <v>36.200000000000003</v>
      </c>
    </row>
    <row r="59" spans="14:21" x14ac:dyDescent="0.3">
      <c r="R59" s="32">
        <f>IF(Dados!A60="","",Dados!A60)</f>
        <v>41.9</v>
      </c>
    </row>
    <row r="60" spans="14:21" x14ac:dyDescent="0.3">
      <c r="R60" s="32">
        <f>IF(Dados!A61="","",Dados!A61)</f>
        <v>86.2</v>
      </c>
    </row>
    <row r="61" spans="14:21" x14ac:dyDescent="0.3">
      <c r="R61" s="32">
        <f>IF(Dados!A62="","",Dados!A62)</f>
        <v>81.5</v>
      </c>
    </row>
    <row r="62" spans="14:21" x14ac:dyDescent="0.3">
      <c r="R62" s="32">
        <f>IF(Dados!A63="","",Dados!A63)</f>
        <v>69</v>
      </c>
    </row>
    <row r="63" spans="14:21" x14ac:dyDescent="0.3">
      <c r="R63" s="32">
        <f>IF(Dados!A64="","",Dados!A64)</f>
        <v>56</v>
      </c>
    </row>
    <row r="64" spans="14:21" x14ac:dyDescent="0.3">
      <c r="R64" s="32">
        <f>IF(Dados!A65="","",Dados!A65)</f>
        <v>93.1</v>
      </c>
    </row>
    <row r="65" spans="18:18" x14ac:dyDescent="0.3">
      <c r="R65" s="32">
        <f>IF(Dados!A66="","",Dados!A66)</f>
        <v>23</v>
      </c>
    </row>
    <row r="66" spans="18:18" x14ac:dyDescent="0.3">
      <c r="R66" s="32">
        <f>IF(Dados!A67="","",Dados!A67)</f>
        <v>106.8</v>
      </c>
    </row>
    <row r="67" spans="18:18" x14ac:dyDescent="0.3">
      <c r="R67" s="32">
        <f>IF(Dados!A68="","",Dados!A68)</f>
        <v>42</v>
      </c>
    </row>
    <row r="68" spans="18:18" x14ac:dyDescent="0.3">
      <c r="R68" s="32">
        <f>IF(Dados!A69="","",Dados!A69)</f>
        <v>36.5</v>
      </c>
    </row>
    <row r="69" spans="18:18" x14ac:dyDescent="0.3">
      <c r="R69" s="32">
        <f>IF(Dados!A70="","",Dados!A70)</f>
        <v>50.5</v>
      </c>
    </row>
    <row r="70" spans="18:18" x14ac:dyDescent="0.3">
      <c r="R70" s="32">
        <f>IF(Dados!A71="","",Dados!A71)</f>
        <v>69.7</v>
      </c>
    </row>
    <row r="71" spans="18:18" x14ac:dyDescent="0.3">
      <c r="R71" s="32">
        <f>IF(Dados!A72="","",Dados!A72)</f>
        <v>42</v>
      </c>
    </row>
    <row r="72" spans="18:18" x14ac:dyDescent="0.3">
      <c r="R72" s="32">
        <f>IF(Dados!A73="","",Dados!A73)</f>
        <v>51.8</v>
      </c>
    </row>
    <row r="73" spans="18:18" x14ac:dyDescent="0.3">
      <c r="R73" s="32">
        <f>IF(Dados!A74="","",Dados!A74)</f>
        <v>18.399999999999999</v>
      </c>
    </row>
    <row r="74" spans="18:18" x14ac:dyDescent="0.3">
      <c r="R74" s="32">
        <f>IF(Dados!A75="","",Dados!A75)</f>
        <v>20</v>
      </c>
    </row>
    <row r="75" spans="18:18" x14ac:dyDescent="0.3">
      <c r="R75" s="32">
        <f>IF(Dados!A76="","",Dados!A76)</f>
        <v>45</v>
      </c>
    </row>
    <row r="76" spans="18:18" x14ac:dyDescent="0.3">
      <c r="R76" s="32">
        <f>IF(Dados!A77="","",Dados!A77)</f>
        <v>39.799999999999997</v>
      </c>
    </row>
    <row r="77" spans="18:18" x14ac:dyDescent="0.3">
      <c r="R77" s="32">
        <f>IF(Dados!A78="","",Dados!A78)</f>
        <v>67.5</v>
      </c>
    </row>
    <row r="78" spans="18:18" x14ac:dyDescent="0.3">
      <c r="R78" s="32">
        <f>IF(Dados!A79="","",Dados!A79)</f>
        <v>18.2</v>
      </c>
    </row>
    <row r="79" spans="18:18" x14ac:dyDescent="0.3">
      <c r="R79" s="32">
        <f>IF(Dados!A80="","",Dados!A80)</f>
        <v>24.1</v>
      </c>
    </row>
    <row r="80" spans="18:18" x14ac:dyDescent="0.3">
      <c r="R80" s="32">
        <f>IF(Dados!A81="","",Dados!A81)</f>
        <v>15.3</v>
      </c>
    </row>
    <row r="81" spans="18:18" x14ac:dyDescent="0.3">
      <c r="R81" s="32">
        <f>IF(Dados!A82="","",Dados!A82)</f>
        <v>20.2</v>
      </c>
    </row>
    <row r="82" spans="18:18" x14ac:dyDescent="0.3">
      <c r="R82" s="32">
        <f>IF(Dados!A83="","",Dados!A83)</f>
        <v>83</v>
      </c>
    </row>
    <row r="83" spans="18:18" x14ac:dyDescent="0.3">
      <c r="R83" s="32">
        <f>IF(Dados!A84="","",Dados!A84)</f>
        <v>67.3</v>
      </c>
    </row>
    <row r="84" spans="18:18" x14ac:dyDescent="0.3">
      <c r="R84" s="32">
        <f>IF(Dados!A85="","",Dados!A85)</f>
        <v>49</v>
      </c>
    </row>
    <row r="85" spans="18:18" x14ac:dyDescent="0.3">
      <c r="R85" s="32">
        <f>IF(Dados!A86="","",Dados!A86)</f>
        <v>44.3</v>
      </c>
    </row>
    <row r="86" spans="18:18" x14ac:dyDescent="0.3">
      <c r="R86" s="32">
        <f>IF(Dados!A87="","",Dados!A87)</f>
        <v>34.5</v>
      </c>
    </row>
    <row r="87" spans="18:18" x14ac:dyDescent="0.3">
      <c r="R87" s="32">
        <f>IF(Dados!A88="","",Dados!A88)</f>
        <v>70.3</v>
      </c>
    </row>
    <row r="88" spans="18:18" x14ac:dyDescent="0.3">
      <c r="R88" s="32">
        <f>IF(Dados!A89="","",Dados!A89)</f>
        <v>98.8</v>
      </c>
    </row>
    <row r="89" spans="18:18" x14ac:dyDescent="0.3">
      <c r="R89" s="32">
        <f>IF(Dados!A90="","",Dados!A90)</f>
        <v>110</v>
      </c>
    </row>
    <row r="90" spans="18:18" x14ac:dyDescent="0.3">
      <c r="R90" s="32">
        <f>IF(Dados!A91="","",Dados!A91)</f>
        <v>175</v>
      </c>
    </row>
    <row r="91" spans="18:18" x14ac:dyDescent="0.3">
      <c r="R91" s="32">
        <f>IF(Dados!A92="","",Dados!A92)</f>
        <v>38.700000000000003</v>
      </c>
    </row>
    <row r="92" spans="18:18" x14ac:dyDescent="0.3">
      <c r="R92" s="32">
        <f>IF(Dados!A93="","",Dados!A93)</f>
        <v>36.299999999999997</v>
      </c>
    </row>
    <row r="93" spans="18:18" x14ac:dyDescent="0.3">
      <c r="R93" s="32">
        <f>IF(Dados!A94="","",Dados!A94)</f>
        <v>86</v>
      </c>
    </row>
    <row r="94" spans="18:18" x14ac:dyDescent="0.3">
      <c r="R94" s="32">
        <f>IF(Dados!A95="","",Dados!A95)</f>
        <v>45.2</v>
      </c>
    </row>
    <row r="95" spans="18:18" x14ac:dyDescent="0.3">
      <c r="R95" s="32">
        <f>IF(Dados!A96="","",Dados!A96)</f>
        <v>31</v>
      </c>
    </row>
    <row r="96" spans="18:18" x14ac:dyDescent="0.3">
      <c r="R96" s="32">
        <f>IF(Dados!A97="","",Dados!A97)</f>
        <v>33</v>
      </c>
    </row>
    <row r="97" spans="18:18" x14ac:dyDescent="0.3">
      <c r="R97" s="32">
        <f>IF(Dados!A98="","",Dados!A98)</f>
        <v>49.5</v>
      </c>
    </row>
    <row r="98" spans="18:18" x14ac:dyDescent="0.3">
      <c r="R98" s="32">
        <f>IF(Dados!A99="","",Dados!A99)</f>
        <v>37.799999999999997</v>
      </c>
    </row>
    <row r="99" spans="18:18" x14ac:dyDescent="0.3">
      <c r="R99" s="32">
        <f>IF(Dados!A100="","",Dados!A100)</f>
        <v>50.5</v>
      </c>
    </row>
    <row r="100" spans="18:18" x14ac:dyDescent="0.3">
      <c r="R100" s="32">
        <f>IF(Dados!A101="","",Dados!A101)</f>
        <v>41</v>
      </c>
    </row>
    <row r="101" spans="18:18" x14ac:dyDescent="0.3">
      <c r="R101" s="32">
        <f>IF(Dados!A102="","",Dados!A102)</f>
        <v>20.5</v>
      </c>
    </row>
    <row r="102" spans="18:18" x14ac:dyDescent="0.3">
      <c r="R102" s="32">
        <f>IF(Dados!A103="","",Dados!A103)</f>
        <v>33.700000000000003</v>
      </c>
    </row>
    <row r="103" spans="18:18" x14ac:dyDescent="0.3">
      <c r="R103" s="32">
        <f>IF(Dados!A104="","",Dados!A104)</f>
        <v>48.3</v>
      </c>
    </row>
    <row r="104" spans="18:18" x14ac:dyDescent="0.3">
      <c r="R104" s="32">
        <f>IF(Dados!A105="","",Dados!A105)</f>
        <v>32.5</v>
      </c>
    </row>
    <row r="105" spans="18:18" x14ac:dyDescent="0.3">
      <c r="R105" s="32">
        <f>IF(Dados!A106="","",Dados!A106)</f>
        <v>20.8</v>
      </c>
    </row>
    <row r="106" spans="18:18" x14ac:dyDescent="0.3">
      <c r="R106" s="32">
        <f>IF(Dados!A107="","",Dados!A107)</f>
        <v>30.9</v>
      </c>
    </row>
    <row r="107" spans="18:18" x14ac:dyDescent="0.3">
      <c r="R107" s="32">
        <f>IF(Dados!A108="","",Dados!A108)</f>
        <v>24</v>
      </c>
    </row>
    <row r="108" spans="18:18" x14ac:dyDescent="0.3">
      <c r="R108" s="32">
        <f>IF(Dados!A109="","",Dados!A109)</f>
        <v>74.599999999999994</v>
      </c>
    </row>
    <row r="109" spans="18:18" x14ac:dyDescent="0.3">
      <c r="R109" s="32">
        <f>IF(Dados!A110="","",Dados!A110)</f>
        <v>54.6</v>
      </c>
    </row>
    <row r="110" spans="18:18" x14ac:dyDescent="0.3">
      <c r="R110" s="32">
        <f>IF(Dados!A111="","",Dados!A111)</f>
        <v>71.3</v>
      </c>
    </row>
    <row r="111" spans="18:18" x14ac:dyDescent="0.3">
      <c r="R111" s="32">
        <f>IF(Dados!A112="","",Dados!A112)</f>
        <v>98.5</v>
      </c>
    </row>
    <row r="112" spans="18:18" x14ac:dyDescent="0.3">
      <c r="R112" s="32">
        <f>IF(Dados!A113="","",Dados!A113)</f>
        <v>90.8</v>
      </c>
    </row>
    <row r="113" spans="18:18" x14ac:dyDescent="0.3">
      <c r="R113" s="32">
        <f>IF(Dados!A114="","",Dados!A114)</f>
        <v>147</v>
      </c>
    </row>
    <row r="114" spans="18:18" x14ac:dyDescent="0.3">
      <c r="R114" s="32">
        <f>IF(Dados!A115="","",Dados!A115)</f>
        <v>103</v>
      </c>
    </row>
    <row r="115" spans="18:18" x14ac:dyDescent="0.3">
      <c r="R115" s="32">
        <f>IF(Dados!A116="","",Dados!A116)</f>
        <v>114.9</v>
      </c>
    </row>
    <row r="116" spans="18:18" x14ac:dyDescent="0.3">
      <c r="R116" s="32">
        <f>IF(Dados!A117="","",Dados!A117)</f>
        <v>132.6</v>
      </c>
    </row>
    <row r="117" spans="18:18" x14ac:dyDescent="0.3">
      <c r="R117" s="32">
        <f>IF(Dados!A118="","",Dados!A118)</f>
        <v>37.4</v>
      </c>
    </row>
    <row r="118" spans="18:18" x14ac:dyDescent="0.3">
      <c r="R118" s="32">
        <f>IF(Dados!A119="","",Dados!A119)</f>
        <v>17</v>
      </c>
    </row>
    <row r="119" spans="18:18" x14ac:dyDescent="0.3">
      <c r="R119" s="32">
        <f>IF(Dados!A120="","",Dados!A120)</f>
        <v>31.5</v>
      </c>
    </row>
    <row r="120" spans="18:18" x14ac:dyDescent="0.3">
      <c r="R120" s="32">
        <f>IF(Dados!A121="","",Dados!A121)</f>
        <v>37.799999999999997</v>
      </c>
    </row>
    <row r="121" spans="18:18" x14ac:dyDescent="0.3">
      <c r="R121" s="32">
        <f>IF(Dados!A122="","",Dados!A122)</f>
        <v>62.3</v>
      </c>
    </row>
    <row r="122" spans="18:18" x14ac:dyDescent="0.3">
      <c r="R122" s="32">
        <f>IF(Dados!A123="","",Dados!A123)</f>
        <v>35.200000000000003</v>
      </c>
    </row>
    <row r="123" spans="18:18" x14ac:dyDescent="0.3">
      <c r="R123" s="32">
        <f>IF(Dados!A124="","",Dados!A124)</f>
        <v>22.1</v>
      </c>
    </row>
    <row r="124" spans="18:18" x14ac:dyDescent="0.3">
      <c r="R124" s="32">
        <f>IF(Dados!A125="","",Dados!A125)</f>
        <v>94.3</v>
      </c>
    </row>
    <row r="125" spans="18:18" x14ac:dyDescent="0.3">
      <c r="R125" s="32">
        <f>IF(Dados!A126="","",Dados!A126)</f>
        <v>36.4</v>
      </c>
    </row>
    <row r="126" spans="18:18" x14ac:dyDescent="0.3">
      <c r="R126" s="32">
        <f>IF(Dados!A127="","",Dados!A127)</f>
        <v>23.5</v>
      </c>
    </row>
    <row r="127" spans="18:18" x14ac:dyDescent="0.3">
      <c r="R127" s="32">
        <f>IF(Dados!A128="","",Dados!A128)</f>
        <v>25.5</v>
      </c>
    </row>
    <row r="128" spans="18:18" x14ac:dyDescent="0.3">
      <c r="R128" s="32">
        <f>IF(Dados!A129="","",Dados!A129)</f>
        <v>19.5</v>
      </c>
    </row>
    <row r="129" spans="18:18" x14ac:dyDescent="0.3">
      <c r="R129" s="32">
        <f>IF(Dados!A130="","",Dados!A130)</f>
        <v>29.7</v>
      </c>
    </row>
    <row r="130" spans="18:18" x14ac:dyDescent="0.3">
      <c r="R130" s="32">
        <f>IF(Dados!A131="","",Dados!A131)</f>
        <v>18.8</v>
      </c>
    </row>
    <row r="131" spans="18:18" x14ac:dyDescent="0.3">
      <c r="R131" s="32">
        <f>IF(Dados!A132="","",Dados!A132)</f>
        <v>27.3</v>
      </c>
    </row>
    <row r="132" spans="18:18" x14ac:dyDescent="0.3">
      <c r="R132" s="32">
        <f>IF(Dados!A133="","",Dados!A133)</f>
        <v>24.8</v>
      </c>
    </row>
    <row r="133" spans="18:18" x14ac:dyDescent="0.3">
      <c r="R133" s="32">
        <f>IF(Dados!A134="","",Dados!A134)</f>
        <v>25.5</v>
      </c>
    </row>
    <row r="134" spans="18:18" x14ac:dyDescent="0.3">
      <c r="R134" s="32">
        <f>IF(Dados!A135="","",Dados!A135)</f>
        <v>16</v>
      </c>
    </row>
    <row r="135" spans="18:18" x14ac:dyDescent="0.3">
      <c r="R135" s="32">
        <f>IF(Dados!A136="","",Dados!A136)</f>
        <v>22.3</v>
      </c>
    </row>
    <row r="136" spans="18:18" x14ac:dyDescent="0.3">
      <c r="R136" s="32">
        <f>IF(Dados!A137="","",Dados!A137)</f>
        <v>24</v>
      </c>
    </row>
    <row r="137" spans="18:18" x14ac:dyDescent="0.3">
      <c r="R137" s="32">
        <f>IF(Dados!A138="","",Dados!A138)</f>
        <v>34.1</v>
      </c>
    </row>
    <row r="138" spans="18:18" x14ac:dyDescent="0.3">
      <c r="R138" s="32">
        <f>IF(Dados!A139="","",Dados!A139)</f>
        <v>55.6</v>
      </c>
    </row>
    <row r="139" spans="18:18" x14ac:dyDescent="0.3">
      <c r="R139" s="32">
        <f>IF(Dados!A140="","",Dados!A140)</f>
        <v>29.8</v>
      </c>
    </row>
    <row r="140" spans="18:18" x14ac:dyDescent="0.3">
      <c r="R140" s="32">
        <f>IF(Dados!A141="","",Dados!A141)</f>
        <v>26.5</v>
      </c>
    </row>
    <row r="141" spans="18:18" x14ac:dyDescent="0.3">
      <c r="R141" s="32">
        <f>IF(Dados!A142="","",Dados!A142)</f>
        <v>62.8</v>
      </c>
    </row>
    <row r="142" spans="18:18" x14ac:dyDescent="0.3">
      <c r="R142" s="32">
        <f>IF(Dados!A143="","",Dados!A143)</f>
        <v>81.8</v>
      </c>
    </row>
    <row r="143" spans="18:18" x14ac:dyDescent="0.3">
      <c r="R143" s="32">
        <f>IF(Dados!A144="","",Dados!A144)</f>
        <v>42.3</v>
      </c>
    </row>
    <row r="144" spans="18:18" x14ac:dyDescent="0.3">
      <c r="R144" s="32">
        <f>IF(Dados!A145="","",Dados!A145)</f>
        <v>112</v>
      </c>
    </row>
    <row r="145" spans="18:18" x14ac:dyDescent="0.3">
      <c r="R145" s="32">
        <f>IF(Dados!A146="","",Dados!A146)</f>
        <v>83</v>
      </c>
    </row>
    <row r="146" spans="18:18" x14ac:dyDescent="0.3">
      <c r="R146" s="32">
        <f>IF(Dados!A147="","",Dados!A147)</f>
        <v>58</v>
      </c>
    </row>
    <row r="147" spans="18:18" x14ac:dyDescent="0.3">
      <c r="R147" s="32">
        <f>IF(Dados!A148="","",Dados!A148)</f>
        <v>58.5</v>
      </c>
    </row>
    <row r="148" spans="18:18" x14ac:dyDescent="0.3">
      <c r="R148" s="32">
        <f>IF(Dados!A149="","",Dados!A149)</f>
        <v>27.7</v>
      </c>
    </row>
    <row r="149" spans="18:18" x14ac:dyDescent="0.3">
      <c r="R149" s="32">
        <f>IF(Dados!A150="","",Dados!A150)</f>
        <v>18</v>
      </c>
    </row>
    <row r="150" spans="18:18" x14ac:dyDescent="0.3">
      <c r="R150" s="32">
        <f>IF(Dados!A151="","",Dados!A151)</f>
        <v>112</v>
      </c>
    </row>
    <row r="151" spans="18:18" x14ac:dyDescent="0.3">
      <c r="R151" s="32">
        <f>IF(Dados!A152="","",Dados!A152)</f>
        <v>93.5</v>
      </c>
    </row>
    <row r="152" spans="18:18" x14ac:dyDescent="0.3">
      <c r="R152" s="32">
        <f>IF(Dados!A153="","",Dados!A153)</f>
        <v>111.4</v>
      </c>
    </row>
    <row r="153" spans="18:18" x14ac:dyDescent="0.3">
      <c r="R153" s="32">
        <f>IF(Dados!A154="","",Dados!A154)</f>
        <v>37</v>
      </c>
    </row>
    <row r="154" spans="18:18" x14ac:dyDescent="0.3">
      <c r="R154" s="32">
        <f>IF(Dados!A155="","",Dados!A155)</f>
        <v>94.1</v>
      </c>
    </row>
    <row r="155" spans="18:18" x14ac:dyDescent="0.3">
      <c r="R155" s="32">
        <f>IF(Dados!A156="","",Dados!A156)</f>
        <v>63</v>
      </c>
    </row>
    <row r="156" spans="18:18" x14ac:dyDescent="0.3">
      <c r="R156" s="32">
        <f>IF(Dados!A157="","",Dados!A157)</f>
        <v>15.5</v>
      </c>
    </row>
    <row r="157" spans="18:18" x14ac:dyDescent="0.3">
      <c r="R157" s="32">
        <f>IF(Dados!A158="","",Dados!A158)</f>
        <v>31.2</v>
      </c>
    </row>
    <row r="158" spans="18:18" x14ac:dyDescent="0.3">
      <c r="R158" s="32">
        <f>IF(Dados!A159="","",Dados!A159)</f>
        <v>20</v>
      </c>
    </row>
    <row r="159" spans="18:18" x14ac:dyDescent="0.3">
      <c r="R159" s="32">
        <f>IF(Dados!A160="","",Dados!A160)</f>
        <v>29.5</v>
      </c>
    </row>
    <row r="160" spans="18:18" x14ac:dyDescent="0.3">
      <c r="R160" s="32">
        <f>IF(Dados!A161="","",Dados!A161)</f>
        <v>72.3</v>
      </c>
    </row>
    <row r="161" spans="18:18" x14ac:dyDescent="0.3">
      <c r="R161" s="32">
        <f>IF(Dados!A162="","",Dados!A162)</f>
        <v>21.3</v>
      </c>
    </row>
    <row r="162" spans="18:18" x14ac:dyDescent="0.3">
      <c r="R162" s="32">
        <f>IF(Dados!A163="","",Dados!A163)</f>
        <v>24.2</v>
      </c>
    </row>
    <row r="163" spans="18:18" x14ac:dyDescent="0.3">
      <c r="R163" s="32">
        <f>IF(Dados!A164="","",Dados!A164)</f>
        <v>26.1</v>
      </c>
    </row>
    <row r="164" spans="18:18" x14ac:dyDescent="0.3">
      <c r="R164" s="32">
        <f>IF(Dados!A165="","",Dados!A165)</f>
        <v>37.1</v>
      </c>
    </row>
    <row r="165" spans="18:18" x14ac:dyDescent="0.3">
      <c r="R165" s="32">
        <f>IF(Dados!A166="","",Dados!A166)</f>
        <v>79.900000000000006</v>
      </c>
    </row>
    <row r="166" spans="18:18" x14ac:dyDescent="0.3">
      <c r="R166" s="32">
        <f>IF(Dados!A167="","",Dados!A167)</f>
        <v>87</v>
      </c>
    </row>
    <row r="167" spans="18:18" x14ac:dyDescent="0.3">
      <c r="R167" s="32">
        <f>IF(Dados!A168="","",Dados!A168)</f>
        <v>51.3</v>
      </c>
    </row>
    <row r="168" spans="18:18" x14ac:dyDescent="0.3">
      <c r="R168" s="32">
        <f>IF(Dados!A169="","",Dados!A169)</f>
        <v>57.2</v>
      </c>
    </row>
    <row r="169" spans="18:18" x14ac:dyDescent="0.3">
      <c r="R169" s="32">
        <f>IF(Dados!A170="","",Dados!A170)</f>
        <v>43.7</v>
      </c>
    </row>
    <row r="170" spans="18:18" x14ac:dyDescent="0.3">
      <c r="R170" s="32">
        <f>IF(Dados!A171="","",Dados!A171)</f>
        <v>83</v>
      </c>
    </row>
    <row r="171" spans="18:18" x14ac:dyDescent="0.3">
      <c r="R171" s="32">
        <f>IF(Dados!A172="","",Dados!A172)</f>
        <v>83.7</v>
      </c>
    </row>
    <row r="172" spans="18:18" x14ac:dyDescent="0.3">
      <c r="R172" s="32">
        <f>IF(Dados!A173="","",Dados!A173)</f>
        <v>36.5</v>
      </c>
    </row>
    <row r="173" spans="18:18" x14ac:dyDescent="0.3">
      <c r="R173" s="32">
        <f>IF(Dados!A174="","",Dados!A174)</f>
        <v>41.1</v>
      </c>
    </row>
    <row r="174" spans="18:18" x14ac:dyDescent="0.3">
      <c r="R174" s="32">
        <f>IF(Dados!A175="","",Dados!A175)</f>
        <v>26.4</v>
      </c>
    </row>
    <row r="175" spans="18:18" x14ac:dyDescent="0.3">
      <c r="R175" s="32">
        <f>IF(Dados!A176="","",Dados!A176)</f>
        <v>22.1</v>
      </c>
    </row>
    <row r="176" spans="18:18" x14ac:dyDescent="0.3">
      <c r="R176" s="32">
        <f>IF(Dados!A177="","",Dados!A177)</f>
        <v>43.9</v>
      </c>
    </row>
    <row r="177" spans="18:18" x14ac:dyDescent="0.3">
      <c r="R177" s="32">
        <f>IF(Dados!A178="","",Dados!A178)</f>
        <v>41.9</v>
      </c>
    </row>
    <row r="178" spans="18:18" x14ac:dyDescent="0.3">
      <c r="R178" s="32">
        <f>IF(Dados!A179="","",Dados!A179)</f>
        <v>64</v>
      </c>
    </row>
    <row r="179" spans="18:18" x14ac:dyDescent="0.3">
      <c r="R179" s="32">
        <f>IF(Dados!A180="","",Dados!A180)</f>
        <v>35.5</v>
      </c>
    </row>
    <row r="180" spans="18:18" x14ac:dyDescent="0.3">
      <c r="R180" s="32">
        <f>IF(Dados!A181="","",Dados!A181)</f>
        <v>26.7</v>
      </c>
    </row>
    <row r="181" spans="18:18" x14ac:dyDescent="0.3">
      <c r="R181" s="32">
        <f>IF(Dados!A182="","",Dados!A182)</f>
        <v>62</v>
      </c>
    </row>
    <row r="182" spans="18:18" x14ac:dyDescent="0.3">
      <c r="R182" s="32">
        <f>IF(Dados!A183="","",Dados!A183)</f>
        <v>54.3</v>
      </c>
    </row>
    <row r="183" spans="18:18" x14ac:dyDescent="0.3">
      <c r="R183" s="32">
        <f>IF(Dados!A184="","",Dados!A184)</f>
        <v>52.3</v>
      </c>
    </row>
    <row r="184" spans="18:18" x14ac:dyDescent="0.3">
      <c r="R184" s="32">
        <f>IF(Dados!A185="","",Dados!A185)</f>
        <v>110</v>
      </c>
    </row>
    <row r="185" spans="18:18" x14ac:dyDescent="0.3">
      <c r="R185" s="32">
        <f>IF(Dados!A186="","",Dados!A186)</f>
        <v>93.2</v>
      </c>
    </row>
    <row r="186" spans="18:18" x14ac:dyDescent="0.3">
      <c r="R186" s="32">
        <f>IF(Dados!A187="","",Dados!A187)</f>
        <v>117.7</v>
      </c>
    </row>
    <row r="187" spans="18:18" x14ac:dyDescent="0.3">
      <c r="R187" s="32">
        <f>IF(Dados!A188="","",Dados!A188)</f>
        <v>73.5</v>
      </c>
    </row>
    <row r="188" spans="18:18" x14ac:dyDescent="0.3">
      <c r="R188" s="32">
        <f>IF(Dados!A189="","",Dados!A189)</f>
        <v>43</v>
      </c>
    </row>
    <row r="189" spans="18:18" x14ac:dyDescent="0.3">
      <c r="R189" s="32">
        <f>IF(Dados!A190="","",Dados!A190)</f>
        <v>22.4</v>
      </c>
    </row>
    <row r="190" spans="18:18" x14ac:dyDescent="0.3">
      <c r="R190" s="32">
        <f>IF(Dados!A191="","",Dados!A191)</f>
        <v>88</v>
      </c>
    </row>
    <row r="191" spans="18:18" x14ac:dyDescent="0.3">
      <c r="R191" s="32">
        <f>IF(Dados!A192="","",Dados!A192)</f>
        <v>106.5</v>
      </c>
    </row>
    <row r="192" spans="18:18" x14ac:dyDescent="0.3">
      <c r="R192" s="32">
        <f>IF(Dados!A193="","",Dados!A193)</f>
        <v>98</v>
      </c>
    </row>
    <row r="193" spans="18:18" x14ac:dyDescent="0.3">
      <c r="R193" s="32">
        <f>IF(Dados!A194="","",Dados!A194)</f>
        <v>125.5</v>
      </c>
    </row>
    <row r="194" spans="18:18" x14ac:dyDescent="0.3">
      <c r="R194" s="32">
        <f>IF(Dados!A195="","",Dados!A195)</f>
        <v>29.4</v>
      </c>
    </row>
    <row r="195" spans="18:18" x14ac:dyDescent="0.3">
      <c r="R195" s="32">
        <f>IF(Dados!A196="","",Dados!A196)</f>
        <v>25.5</v>
      </c>
    </row>
    <row r="196" spans="18:18" x14ac:dyDescent="0.3">
      <c r="R196" s="32">
        <f>IF(Dados!A197="","",Dados!A197)</f>
        <v>23</v>
      </c>
    </row>
    <row r="197" spans="18:18" x14ac:dyDescent="0.3">
      <c r="R197" s="32">
        <f>IF(Dados!A198="","",Dados!A198)</f>
        <v>18.899999999999999</v>
      </c>
    </row>
    <row r="198" spans="18:18" x14ac:dyDescent="0.3">
      <c r="R198" s="32">
        <f>IF(Dados!A199="","",Dados!A199)</f>
        <v>17</v>
      </c>
    </row>
    <row r="199" spans="18:18" x14ac:dyDescent="0.3">
      <c r="R199" s="32">
        <f>IF(Dados!A200="","",Dados!A200)</f>
        <v>37.5</v>
      </c>
    </row>
    <row r="200" spans="18:18" x14ac:dyDescent="0.3">
      <c r="R200" s="32">
        <f>IF(Dados!A201="","",Dados!A201)</f>
        <v>28.1</v>
      </c>
    </row>
    <row r="201" spans="18:18" x14ac:dyDescent="0.3">
      <c r="R201" s="32">
        <f>IF(Dados!A202="","",Dados!A202)</f>
        <v>65.099999999999994</v>
      </c>
    </row>
    <row r="202" spans="18:18" x14ac:dyDescent="0.3">
      <c r="R202" s="32">
        <f>IF(Dados!A203="","",Dados!A203)</f>
        <v>19.5</v>
      </c>
    </row>
    <row r="203" spans="18:18" x14ac:dyDescent="0.3">
      <c r="R203" s="32">
        <f>IF(Dados!A204="","",Dados!A204)</f>
        <v>24.2</v>
      </c>
    </row>
    <row r="204" spans="18:18" x14ac:dyDescent="0.3">
      <c r="R204" s="32">
        <f>IF(Dados!A205="","",Dados!A205)</f>
        <v>21.2</v>
      </c>
    </row>
    <row r="205" spans="18:18" x14ac:dyDescent="0.3">
      <c r="R205" s="32">
        <f>IF(Dados!A206="","",Dados!A206)</f>
        <v>23.8</v>
      </c>
    </row>
    <row r="206" spans="18:18" x14ac:dyDescent="0.3">
      <c r="R206" s="32">
        <f>IF(Dados!A207="","",Dados!A207)</f>
        <v>17.5</v>
      </c>
    </row>
    <row r="207" spans="18:18" x14ac:dyDescent="0.3">
      <c r="R207" s="32">
        <f>IF(Dados!A208="","",Dados!A208)</f>
        <v>34.6</v>
      </c>
    </row>
    <row r="208" spans="18:18" x14ac:dyDescent="0.3">
      <c r="R208" s="32">
        <f>IF(Dados!A209="","",Dados!A209)</f>
        <v>27</v>
      </c>
    </row>
    <row r="209" spans="18:18" x14ac:dyDescent="0.3">
      <c r="R209" s="32">
        <f>IF(Dados!A210="","",Dados!A210)</f>
        <v>29.4</v>
      </c>
    </row>
    <row r="210" spans="18:18" x14ac:dyDescent="0.3">
      <c r="R210" s="32">
        <f>IF(Dados!A211="","",Dados!A211)</f>
        <v>47.8</v>
      </c>
    </row>
    <row r="211" spans="18:18" x14ac:dyDescent="0.3">
      <c r="R211" s="32">
        <f>IF(Dados!A212="","",Dados!A212)</f>
        <v>18</v>
      </c>
    </row>
    <row r="212" spans="18:18" x14ac:dyDescent="0.3">
      <c r="R212" s="32">
        <f>IF(Dados!A213="","",Dados!A213)</f>
        <v>66</v>
      </c>
    </row>
    <row r="213" spans="18:18" x14ac:dyDescent="0.3">
      <c r="R213" s="32">
        <f>IF(Dados!A214="","",Dados!A214)</f>
        <v>52</v>
      </c>
    </row>
    <row r="214" spans="18:18" x14ac:dyDescent="0.3">
      <c r="R214" s="32">
        <f>IF(Dados!A215="","",Dados!A215)</f>
        <v>71.5</v>
      </c>
    </row>
    <row r="215" spans="18:18" x14ac:dyDescent="0.3">
      <c r="R215" s="32">
        <f>IF(Dados!A216="","",Dados!A216)</f>
        <v>37.700000000000003</v>
      </c>
    </row>
    <row r="216" spans="18:18" x14ac:dyDescent="0.3">
      <c r="R216" s="32">
        <f>IF(Dados!A217="","",Dados!A217)</f>
        <v>120.4</v>
      </c>
    </row>
    <row r="217" spans="18:18" x14ac:dyDescent="0.3">
      <c r="R217" s="32">
        <f>IF(Dados!A218="","",Dados!A218)</f>
        <v>78.7</v>
      </c>
    </row>
    <row r="218" spans="18:18" x14ac:dyDescent="0.3">
      <c r="R218" s="32">
        <f>IF(Dados!A219="","",Dados!A219)</f>
        <v>114.4</v>
      </c>
    </row>
    <row r="219" spans="18:18" x14ac:dyDescent="0.3">
      <c r="R219" s="32">
        <f>IF(Dados!A220="","",Dados!A220)</f>
        <v>43.5</v>
      </c>
    </row>
    <row r="220" spans="18:18" x14ac:dyDescent="0.3">
      <c r="R220" s="32">
        <f>IF(Dados!A221="","",Dados!A221)</f>
        <v>49</v>
      </c>
    </row>
    <row r="221" spans="18:18" x14ac:dyDescent="0.3">
      <c r="R221" s="32">
        <f>IF(Dados!A222="","",Dados!A222)</f>
        <v>97</v>
      </c>
    </row>
    <row r="222" spans="18:18" x14ac:dyDescent="0.3">
      <c r="R222" s="32">
        <f>IF(Dados!A223="","",Dados!A223)</f>
        <v>145.5</v>
      </c>
    </row>
    <row r="223" spans="18:18" x14ac:dyDescent="0.3">
      <c r="R223" s="32">
        <f>IF(Dados!A224="","",Dados!A224)</f>
        <v>157.4</v>
      </c>
    </row>
    <row r="224" spans="18:18" x14ac:dyDescent="0.3">
      <c r="R224" s="32">
        <f>IF(Dados!A225="","",Dados!A225)</f>
        <v>63.9</v>
      </c>
    </row>
    <row r="225" spans="18:18" x14ac:dyDescent="0.3">
      <c r="R225" s="32">
        <f>IF(Dados!A226="","",Dados!A226)</f>
        <v>71.8</v>
      </c>
    </row>
    <row r="226" spans="18:18" x14ac:dyDescent="0.3">
      <c r="R226" s="32">
        <f>IF(Dados!A227="","",Dados!A227)</f>
        <v>113.2</v>
      </c>
    </row>
    <row r="227" spans="18:18" x14ac:dyDescent="0.3">
      <c r="R227" s="32">
        <f>IF(Dados!A228="","",Dados!A228)</f>
        <v>30.3</v>
      </c>
    </row>
    <row r="228" spans="18:18" x14ac:dyDescent="0.3">
      <c r="R228" s="32">
        <f>IF(Dados!A229="","",Dados!A229)</f>
        <v>39</v>
      </c>
    </row>
    <row r="229" spans="18:18" x14ac:dyDescent="0.3">
      <c r="R229" s="32">
        <f>IF(Dados!A230="","",Dados!A230)</f>
        <v>63</v>
      </c>
    </row>
    <row r="230" spans="18:18" x14ac:dyDescent="0.3">
      <c r="R230" s="32">
        <f>IF(Dados!A231="","",Dados!A231)</f>
        <v>20.6</v>
      </c>
    </row>
    <row r="231" spans="18:18" x14ac:dyDescent="0.3">
      <c r="R231" s="32">
        <f>IF(Dados!A232="","",Dados!A232)</f>
        <v>19.5</v>
      </c>
    </row>
    <row r="232" spans="18:18" x14ac:dyDescent="0.3">
      <c r="R232" s="32">
        <f>IF(Dados!A233="","",Dados!A233)</f>
        <v>15.5</v>
      </c>
    </row>
    <row r="233" spans="18:18" x14ac:dyDescent="0.3">
      <c r="R233" s="32">
        <f>IF(Dados!A234="","",Dados!A234)</f>
        <v>24.2</v>
      </c>
    </row>
    <row r="234" spans="18:18" x14ac:dyDescent="0.3">
      <c r="R234" s="32">
        <f>IF(Dados!A235="","",Dados!A235)</f>
        <v>21.5</v>
      </c>
    </row>
    <row r="235" spans="18:18" x14ac:dyDescent="0.3">
      <c r="R235" s="32">
        <f>IF(Dados!A236="","",Dados!A236)</f>
        <v>34.700000000000003</v>
      </c>
    </row>
    <row r="236" spans="18:18" x14ac:dyDescent="0.3">
      <c r="R236" s="32">
        <f>IF(Dados!A237="","",Dados!A237)</f>
        <v>22.8</v>
      </c>
    </row>
    <row r="237" spans="18:18" x14ac:dyDescent="0.3">
      <c r="R237" s="32">
        <f>IF(Dados!A238="","",Dados!A238)</f>
        <v>18</v>
      </c>
    </row>
    <row r="238" spans="18:18" x14ac:dyDescent="0.3">
      <c r="R238" s="32">
        <f>IF(Dados!A239="","",Dados!A239)</f>
        <v>34.299999999999997</v>
      </c>
    </row>
    <row r="239" spans="18:18" x14ac:dyDescent="0.3">
      <c r="R239" s="32">
        <f>IF(Dados!A240="","",Dados!A240)</f>
        <v>18.5</v>
      </c>
    </row>
    <row r="240" spans="18:18" x14ac:dyDescent="0.3">
      <c r="R240" s="32">
        <f>IF(Dados!A241="","",Dados!A241)</f>
        <v>33.5</v>
      </c>
    </row>
    <row r="241" spans="18:18" x14ac:dyDescent="0.3">
      <c r="R241" s="32">
        <f>IF(Dados!A242="","",Dados!A242)</f>
        <v>29</v>
      </c>
    </row>
    <row r="242" spans="18:18" x14ac:dyDescent="0.3">
      <c r="R242" s="32">
        <f>IF(Dados!A243="","",Dados!A243)</f>
        <v>65.599999999999994</v>
      </c>
    </row>
    <row r="243" spans="18:18" x14ac:dyDescent="0.3">
      <c r="R243" s="32">
        <f>IF(Dados!A244="","",Dados!A244)</f>
        <v>30</v>
      </c>
    </row>
    <row r="244" spans="18:18" x14ac:dyDescent="0.3">
      <c r="R244" s="32">
        <f>IF(Dados!A245="","",Dados!A245)</f>
        <v>66.099999999999994</v>
      </c>
    </row>
    <row r="245" spans="18:18" x14ac:dyDescent="0.3">
      <c r="R245" s="32">
        <f>IF(Dados!A246="","",Dados!A246)</f>
        <v>68.599999999999994</v>
      </c>
    </row>
    <row r="246" spans="18:18" x14ac:dyDescent="0.3">
      <c r="R246" s="32">
        <f>IF(Dados!A247="","",Dados!A247)</f>
        <v>31</v>
      </c>
    </row>
    <row r="247" spans="18:18" x14ac:dyDescent="0.3">
      <c r="R247" s="32">
        <f>IF(Dados!A248="","",Dados!A248)</f>
        <v>126</v>
      </c>
    </row>
    <row r="248" spans="18:18" x14ac:dyDescent="0.3">
      <c r="R248" s="32">
        <f>IF(Dados!A249="","",Dados!A249)</f>
        <v>87</v>
      </c>
    </row>
    <row r="249" spans="18:18" x14ac:dyDescent="0.3">
      <c r="R249" s="32">
        <f>IF(Dados!A250="","",Dados!A250)</f>
        <v>32.5</v>
      </c>
    </row>
    <row r="250" spans="18:18" x14ac:dyDescent="0.3">
      <c r="R250" s="32">
        <f>IF(Dados!A251="","",Dados!A251)</f>
        <v>54.7</v>
      </c>
    </row>
    <row r="251" spans="18:18" x14ac:dyDescent="0.3">
      <c r="R251" s="32">
        <f>IF(Dados!A252="","",Dados!A252)</f>
        <v>20.2</v>
      </c>
    </row>
    <row r="252" spans="18:18" x14ac:dyDescent="0.3">
      <c r="R252" s="32">
        <f>IF(Dados!A253="","",Dados!A253)</f>
        <v>109</v>
      </c>
    </row>
    <row r="253" spans="18:18" x14ac:dyDescent="0.3">
      <c r="R253" s="32">
        <f>IF(Dados!A254="","",Dados!A254)</f>
        <v>85.7</v>
      </c>
    </row>
    <row r="254" spans="18:18" x14ac:dyDescent="0.3">
      <c r="R254" s="32">
        <f>IF(Dados!A255="","",Dados!A255)</f>
        <v>82.1</v>
      </c>
    </row>
    <row r="255" spans="18:18" x14ac:dyDescent="0.3">
      <c r="R255" s="32">
        <f>IF(Dados!A256="","",Dados!A256)</f>
        <v>37.700000000000003</v>
      </c>
    </row>
    <row r="256" spans="18:18" x14ac:dyDescent="0.3">
      <c r="R256" s="32">
        <f>IF(Dados!A257="","",Dados!A257)</f>
        <v>46</v>
      </c>
    </row>
    <row r="257" spans="18:18" x14ac:dyDescent="0.3">
      <c r="R257" s="32">
        <f>IF(Dados!A258="","",Dados!A258)</f>
        <v>55</v>
      </c>
    </row>
    <row r="258" spans="18:18" x14ac:dyDescent="0.3">
      <c r="R258" s="32">
        <f>IF(Dados!A259="","",Dados!A259)</f>
        <v>26.3</v>
      </c>
    </row>
    <row r="259" spans="18:18" x14ac:dyDescent="0.3">
      <c r="R259" s="32">
        <f>IF(Dados!A260="","",Dados!A260)</f>
        <v>19</v>
      </c>
    </row>
    <row r="260" spans="18:18" x14ac:dyDescent="0.3">
      <c r="R260" s="32">
        <f>IF(Dados!A261="","",Dados!A261)</f>
        <v>82</v>
      </c>
    </row>
    <row r="261" spans="18:18" x14ac:dyDescent="0.3">
      <c r="R261" s="32">
        <f>IF(Dados!A262="","",Dados!A262)</f>
        <v>22</v>
      </c>
    </row>
    <row r="262" spans="18:18" x14ac:dyDescent="0.3">
      <c r="R262" s="32">
        <f>IF(Dados!A263="","",Dados!A263)</f>
        <v>49.7</v>
      </c>
    </row>
    <row r="263" spans="18:18" x14ac:dyDescent="0.3">
      <c r="R263" s="32">
        <f>IF(Dados!A264="","",Dados!A264)</f>
        <v>51.5</v>
      </c>
    </row>
    <row r="264" spans="18:18" x14ac:dyDescent="0.3">
      <c r="R264" s="32">
        <f>IF(Dados!A265="","",Dados!A265)</f>
        <v>26</v>
      </c>
    </row>
    <row r="265" spans="18:18" x14ac:dyDescent="0.3">
      <c r="R265" s="32">
        <f>IF(Dados!A266="","",Dados!A266)</f>
        <v>26.5</v>
      </c>
    </row>
    <row r="266" spans="18:18" x14ac:dyDescent="0.3">
      <c r="R266" s="32">
        <f>IF(Dados!A267="","",Dados!A267)</f>
        <v>23.8</v>
      </c>
    </row>
    <row r="267" spans="18:18" x14ac:dyDescent="0.3">
      <c r="R267" s="32">
        <f>IF(Dados!A268="","",Dados!A268)</f>
        <v>25.8</v>
      </c>
    </row>
    <row r="268" spans="18:18" x14ac:dyDescent="0.3">
      <c r="R268" s="32">
        <f>IF(Dados!A269="","",Dados!A269)</f>
        <v>17.5</v>
      </c>
    </row>
    <row r="269" spans="18:18" x14ac:dyDescent="0.3">
      <c r="R269" s="32">
        <f>IF(Dados!A270="","",Dados!A270)</f>
        <v>21.9</v>
      </c>
    </row>
    <row r="270" spans="18:18" x14ac:dyDescent="0.3">
      <c r="R270" s="32">
        <f>IF(Dados!A271="","",Dados!A271)</f>
        <v>27.8</v>
      </c>
    </row>
    <row r="271" spans="18:18" x14ac:dyDescent="0.3">
      <c r="R271" s="32">
        <f>IF(Dados!A272="","",Dados!A272)</f>
        <v>28</v>
      </c>
    </row>
    <row r="272" spans="18:18" x14ac:dyDescent="0.3">
      <c r="R272" s="32">
        <f>IF(Dados!A273="","",Dados!A273)</f>
        <v>62.6</v>
      </c>
    </row>
    <row r="273" spans="18:18" x14ac:dyDescent="0.3">
      <c r="R273" s="32">
        <f>IF(Dados!A274="","",Dados!A274)</f>
        <v>41.8</v>
      </c>
    </row>
    <row r="274" spans="18:18" x14ac:dyDescent="0.3">
      <c r="R274" s="32">
        <f>IF(Dados!A275="","",Dados!A275)</f>
        <v>30.1</v>
      </c>
    </row>
    <row r="275" spans="18:18" x14ac:dyDescent="0.3">
      <c r="R275" s="32">
        <f>IF(Dados!A276="","",Dados!A276)</f>
        <v>101</v>
      </c>
    </row>
    <row r="276" spans="18:18" x14ac:dyDescent="0.3">
      <c r="R276" s="32">
        <f>IF(Dados!A277="","",Dados!A277)</f>
        <v>76</v>
      </c>
    </row>
    <row r="277" spans="18:18" x14ac:dyDescent="0.3">
      <c r="R277" s="32">
        <f>IF(Dados!A278="","",Dados!A278)</f>
        <v>50.8</v>
      </c>
    </row>
    <row r="278" spans="18:18" x14ac:dyDescent="0.3">
      <c r="R278" s="32">
        <f>IF(Dados!A279="","",Dados!A279)</f>
        <v>32</v>
      </c>
    </row>
    <row r="279" spans="18:18" x14ac:dyDescent="0.3">
      <c r="R279" s="32">
        <f>IF(Dados!A280="","",Dados!A280)</f>
        <v>23.2</v>
      </c>
    </row>
    <row r="280" spans="18:18" x14ac:dyDescent="0.3">
      <c r="R280" s="32">
        <f>IF(Dados!A281="","",Dados!A281)</f>
        <v>33</v>
      </c>
    </row>
    <row r="281" spans="18:18" x14ac:dyDescent="0.3">
      <c r="R281" s="32">
        <f>IF(Dados!A282="","",Dados!A282)</f>
        <v>19.399999999999999</v>
      </c>
    </row>
    <row r="282" spans="18:18" x14ac:dyDescent="0.3">
      <c r="R282" s="32">
        <f>IF(Dados!A283="","",Dados!A283)</f>
        <v>95.1</v>
      </c>
    </row>
    <row r="283" spans="18:18" x14ac:dyDescent="0.3">
      <c r="R283" s="32">
        <f>IF(Dados!A284="","",Dados!A284)</f>
        <v>80.2</v>
      </c>
    </row>
    <row r="284" spans="18:18" x14ac:dyDescent="0.3">
      <c r="R284" s="32">
        <f>IF(Dados!A285="","",Dados!A285)</f>
        <v>94.3</v>
      </c>
    </row>
    <row r="285" spans="18:18" x14ac:dyDescent="0.3">
      <c r="R285" s="32">
        <f>IF(Dados!A286="","",Dados!A286)</f>
        <v>115</v>
      </c>
    </row>
    <row r="286" spans="18:18" x14ac:dyDescent="0.3">
      <c r="R286" s="32">
        <f>IF(Dados!A287="","",Dados!A287)</f>
        <v>64.900000000000006</v>
      </c>
    </row>
    <row r="287" spans="18:18" x14ac:dyDescent="0.3">
      <c r="R287" s="32">
        <f>IF(Dados!A288="","",Dados!A288)</f>
        <v>27.5</v>
      </c>
    </row>
    <row r="288" spans="18:18" x14ac:dyDescent="0.3">
      <c r="R288" s="32">
        <f>IF(Dados!A289="","",Dados!A289)</f>
        <v>15.7</v>
      </c>
    </row>
    <row r="289" spans="18:18" x14ac:dyDescent="0.3">
      <c r="R289" s="32">
        <f>IF(Dados!A290="","",Dados!A290)</f>
        <v>21</v>
      </c>
    </row>
    <row r="290" spans="18:18" x14ac:dyDescent="0.3">
      <c r="R290" s="32">
        <f>IF(Dados!A291="","",Dados!A291)</f>
        <v>31.6</v>
      </c>
    </row>
    <row r="291" spans="18:18" x14ac:dyDescent="0.3">
      <c r="R291" s="32">
        <f>IF(Dados!A292="","",Dados!A292)</f>
        <v>21</v>
      </c>
    </row>
    <row r="292" spans="18:18" x14ac:dyDescent="0.3">
      <c r="R292" s="32">
        <f>IF(Dados!A293="","",Dados!A293)</f>
        <v>23.2</v>
      </c>
    </row>
    <row r="293" spans="18:18" x14ac:dyDescent="0.3">
      <c r="R293" s="32">
        <f>IF(Dados!A294="","",Dados!A294)</f>
        <v>25.6</v>
      </c>
    </row>
    <row r="294" spans="18:18" x14ac:dyDescent="0.3">
      <c r="R294" s="32">
        <f>IF(Dados!A295="","",Dados!A295)</f>
        <v>73.5</v>
      </c>
    </row>
    <row r="295" spans="18:18" x14ac:dyDescent="0.3">
      <c r="R295" s="32">
        <f>IF(Dados!A296="","",Dados!A296)</f>
        <v>99.2</v>
      </c>
    </row>
    <row r="296" spans="18:18" x14ac:dyDescent="0.3">
      <c r="R296" s="32">
        <f>IF(Dados!A297="","",Dados!A297)</f>
        <v>47.8</v>
      </c>
    </row>
    <row r="297" spans="18:18" x14ac:dyDescent="0.3">
      <c r="R297" s="32">
        <f>IF(Dados!A298="","",Dados!A298)</f>
        <v>98.6</v>
      </c>
    </row>
    <row r="298" spans="18:18" x14ac:dyDescent="0.3">
      <c r="R298" s="32">
        <f>IF(Dados!A299="","",Dados!A299)</f>
        <v>20.7</v>
      </c>
    </row>
    <row r="299" spans="18:18" x14ac:dyDescent="0.3">
      <c r="R299" s="32">
        <f>IF(Dados!A300="","",Dados!A300)</f>
        <v>42.8</v>
      </c>
    </row>
    <row r="300" spans="18:18" x14ac:dyDescent="0.3">
      <c r="R300" s="32">
        <f>IF(Dados!A301="","",Dados!A301)</f>
        <v>21.8</v>
      </c>
    </row>
    <row r="301" spans="18:18" x14ac:dyDescent="0.3">
      <c r="R301" s="32">
        <f>IF(Dados!A302="","",Dados!A302)</f>
        <v>84</v>
      </c>
    </row>
    <row r="302" spans="18:18" x14ac:dyDescent="0.3">
      <c r="R302" s="32">
        <f>IF(Dados!A303="","",Dados!A303)</f>
        <v>41.7</v>
      </c>
    </row>
    <row r="303" spans="18:18" x14ac:dyDescent="0.3">
      <c r="R303" s="32">
        <f>IF(Dados!A304="","",Dados!A304)</f>
        <v>26</v>
      </c>
    </row>
    <row r="304" spans="18:18" x14ac:dyDescent="0.3">
      <c r="R304" s="32">
        <f>IF(Dados!A305="","",Dados!A305)</f>
        <v>46.9</v>
      </c>
    </row>
    <row r="305" spans="18:18" x14ac:dyDescent="0.3">
      <c r="R305" s="32">
        <f>IF(Dados!A306="","",Dados!A306)</f>
        <v>57.2</v>
      </c>
    </row>
    <row r="306" spans="18:18" x14ac:dyDescent="0.3">
      <c r="R306" s="32">
        <f>IF(Dados!A307="","",Dados!A307)</f>
        <v>69.3</v>
      </c>
    </row>
    <row r="307" spans="18:18" x14ac:dyDescent="0.3">
      <c r="R307" s="32">
        <f>IF(Dados!A308="","",Dados!A308)</f>
        <v>101.5</v>
      </c>
    </row>
    <row r="308" spans="18:18" x14ac:dyDescent="0.3">
      <c r="R308" s="32">
        <f>IF(Dados!A309="","",Dados!A309)</f>
        <v>100</v>
      </c>
    </row>
    <row r="309" spans="18:18" x14ac:dyDescent="0.3">
      <c r="R309" s="32">
        <f>IF(Dados!A310="","",Dados!A310)</f>
        <v>17.5</v>
      </c>
    </row>
    <row r="310" spans="18:18" x14ac:dyDescent="0.3">
      <c r="R310" s="32">
        <f>IF(Dados!A311="","",Dados!A311)</f>
        <v>21</v>
      </c>
    </row>
    <row r="311" spans="18:18" x14ac:dyDescent="0.3">
      <c r="R311" s="32">
        <f>IF(Dados!A312="","",Dados!A312)</f>
        <v>19.3</v>
      </c>
    </row>
    <row r="312" spans="18:18" x14ac:dyDescent="0.3">
      <c r="R312" s="32">
        <f>IF(Dados!A313="","",Dados!A313)</f>
        <v>27.2</v>
      </c>
    </row>
    <row r="313" spans="18:18" x14ac:dyDescent="0.3">
      <c r="R313" s="32">
        <f>IF(Dados!A314="","",Dados!A314)</f>
        <v>16</v>
      </c>
    </row>
    <row r="314" spans="18:18" x14ac:dyDescent="0.3">
      <c r="R314" s="32">
        <f>IF(Dados!A315="","",Dados!A315)</f>
        <v>17.8</v>
      </c>
    </row>
    <row r="315" spans="18:18" x14ac:dyDescent="0.3">
      <c r="R315" s="32">
        <f>IF(Dados!A316="","",Dados!A316)</f>
        <v>66</v>
      </c>
    </row>
    <row r="316" spans="18:18" x14ac:dyDescent="0.3">
      <c r="R316" s="32">
        <f>IF(Dados!A317="","",Dados!A317)</f>
        <v>76.400000000000006</v>
      </c>
    </row>
    <row r="317" spans="18:18" x14ac:dyDescent="0.3">
      <c r="R317" s="32">
        <f>IF(Dados!A318="","",Dados!A318)</f>
        <v>58</v>
      </c>
    </row>
    <row r="318" spans="18:18" x14ac:dyDescent="0.3">
      <c r="R318" s="32">
        <f>IF(Dados!A319="","",Dados!A319)</f>
        <v>62.2</v>
      </c>
    </row>
    <row r="319" spans="18:18" x14ac:dyDescent="0.3">
      <c r="R319" s="32">
        <f>IF(Dados!A320="","",Dados!A320)</f>
        <v>118.8</v>
      </c>
    </row>
    <row r="320" spans="18:18" x14ac:dyDescent="0.3">
      <c r="R320" s="32">
        <f>IF(Dados!A321="","",Dados!A321)</f>
        <v>71</v>
      </c>
    </row>
    <row r="321" spans="18:18" x14ac:dyDescent="0.3">
      <c r="R321" s="32">
        <f>IF(Dados!A322="","",Dados!A322)</f>
        <v>55.3</v>
      </c>
    </row>
    <row r="322" spans="18:18" x14ac:dyDescent="0.3">
      <c r="R322" s="32">
        <f>IF(Dados!A323="","",Dados!A323)</f>
        <v>84.5</v>
      </c>
    </row>
    <row r="323" spans="18:18" x14ac:dyDescent="0.3">
      <c r="R323" s="32">
        <f>IF(Dados!A324="","",Dados!A324)</f>
        <v>186</v>
      </c>
    </row>
    <row r="324" spans="18:18" x14ac:dyDescent="0.3">
      <c r="R324" s="32">
        <f>IF(Dados!A325="","",Dados!A325)</f>
        <v>43</v>
      </c>
    </row>
    <row r="325" spans="18:18" x14ac:dyDescent="0.3">
      <c r="R325" s="32">
        <f>IF(Dados!A326="","",Dados!A326)</f>
        <v>20.3</v>
      </c>
    </row>
    <row r="326" spans="18:18" x14ac:dyDescent="0.3">
      <c r="R326" s="32">
        <f>IF(Dados!A327="","",Dados!A327)</f>
        <v>54</v>
      </c>
    </row>
    <row r="327" spans="18:18" x14ac:dyDescent="0.3">
      <c r="R327" s="32">
        <f>IF(Dados!A328="","",Dados!A328)</f>
        <v>63</v>
      </c>
    </row>
    <row r="328" spans="18:18" x14ac:dyDescent="0.3">
      <c r="R328" s="32">
        <f>IF(Dados!A329="","",Dados!A329)</f>
        <v>21.2</v>
      </c>
    </row>
    <row r="329" spans="18:18" x14ac:dyDescent="0.3">
      <c r="R329" s="32">
        <f>IF(Dados!A330="","",Dados!A330)</f>
        <v>30.2</v>
      </c>
    </row>
    <row r="330" spans="18:18" x14ac:dyDescent="0.3">
      <c r="R330" s="32">
        <f>IF(Dados!A331="","",Dados!A331)</f>
        <v>52.2</v>
      </c>
    </row>
    <row r="331" spans="18:18" x14ac:dyDescent="0.3">
      <c r="R331" s="32">
        <f>IF(Dados!A332="","",Dados!A332)</f>
        <v>31.5</v>
      </c>
    </row>
    <row r="332" spans="18:18" x14ac:dyDescent="0.3">
      <c r="R332" s="32">
        <f>IF(Dados!A333="","",Dados!A333)</f>
        <v>16.2</v>
      </c>
    </row>
    <row r="333" spans="18:18" x14ac:dyDescent="0.3">
      <c r="R333" s="32">
        <f>IF(Dados!A334="","",Dados!A334)</f>
        <v>17</v>
      </c>
    </row>
    <row r="334" spans="18:18" x14ac:dyDescent="0.3">
      <c r="R334" s="32">
        <f>IF(Dados!A335="","",Dados!A335)</f>
        <v>34</v>
      </c>
    </row>
    <row r="335" spans="18:18" x14ac:dyDescent="0.3">
      <c r="R335" s="32">
        <f>IF(Dados!A336="","",Dados!A336)</f>
        <v>42.5</v>
      </c>
    </row>
    <row r="336" spans="18:18" x14ac:dyDescent="0.3">
      <c r="R336" s="32">
        <f>IF(Dados!A337="","",Dados!A337)</f>
        <v>66.3</v>
      </c>
    </row>
    <row r="337" spans="18:18" x14ac:dyDescent="0.3">
      <c r="R337" s="32">
        <f>IF(Dados!A338="","",Dados!A338)</f>
        <v>86.8</v>
      </c>
    </row>
    <row r="338" spans="18:18" x14ac:dyDescent="0.3">
      <c r="R338" s="32">
        <f>IF(Dados!A339="","",Dados!A339)</f>
        <v>86.3</v>
      </c>
    </row>
    <row r="339" spans="18:18" x14ac:dyDescent="0.3">
      <c r="R339" s="32">
        <f>IF(Dados!A340="","",Dados!A340)</f>
        <v>85</v>
      </c>
    </row>
    <row r="340" spans="18:18" x14ac:dyDescent="0.3">
      <c r="R340" s="32">
        <f>IF(Dados!A341="","",Dados!A341)</f>
        <v>37.6</v>
      </c>
    </row>
    <row r="341" spans="18:18" x14ac:dyDescent="0.3">
      <c r="R341" s="32">
        <f>IF(Dados!A342="","",Dados!A342)</f>
        <v>42</v>
      </c>
    </row>
    <row r="342" spans="18:18" x14ac:dyDescent="0.3">
      <c r="R342" s="32">
        <f>IF(Dados!A343="","",Dados!A343)</f>
        <v>108.5</v>
      </c>
    </row>
    <row r="343" spans="18:18" x14ac:dyDescent="0.3">
      <c r="R343" s="32">
        <f>IF(Dados!A344="","",Dados!A344)</f>
        <v>113.3</v>
      </c>
    </row>
    <row r="344" spans="18:18" x14ac:dyDescent="0.3">
      <c r="R344" s="32">
        <f>IF(Dados!A345="","",Dados!A345)</f>
        <v>52.6</v>
      </c>
    </row>
    <row r="345" spans="18:18" x14ac:dyDescent="0.3">
      <c r="R345" s="32">
        <f>IF(Dados!A346="","",Dados!A346)</f>
        <v>50.5</v>
      </c>
    </row>
    <row r="346" spans="18:18" x14ac:dyDescent="0.3">
      <c r="R346" s="32">
        <f>IF(Dados!A347="","",Dados!A347)</f>
        <v>104.3</v>
      </c>
    </row>
    <row r="347" spans="18:18" x14ac:dyDescent="0.3">
      <c r="R347" s="32">
        <f>IF(Dados!A348="","",Dados!A348)</f>
        <v>80.5</v>
      </c>
    </row>
    <row r="348" spans="18:18" x14ac:dyDescent="0.3">
      <c r="R348" s="32">
        <f>IF(Dados!A349="","",Dados!A349)</f>
        <v>99.6</v>
      </c>
    </row>
    <row r="349" spans="18:18" x14ac:dyDescent="0.3">
      <c r="R349" s="32">
        <f>IF(Dados!A350="","",Dados!A350)</f>
        <v>73.5</v>
      </c>
    </row>
    <row r="350" spans="18:18" x14ac:dyDescent="0.3">
      <c r="R350" s="32">
        <f>IF(Dados!A351="","",Dados!A351)</f>
        <v>91</v>
      </c>
    </row>
    <row r="351" spans="18:18" x14ac:dyDescent="0.3">
      <c r="R351" s="32">
        <f>IF(Dados!A352="","",Dados!A352)</f>
        <v>171</v>
      </c>
    </row>
    <row r="352" spans="18:18" x14ac:dyDescent="0.3">
      <c r="R352" s="32">
        <f>IF(Dados!A353="","",Dados!A353)</f>
        <v>38</v>
      </c>
    </row>
    <row r="353" spans="18:18" x14ac:dyDescent="0.3">
      <c r="R353" s="32">
        <f>IF(Dados!A354="","",Dados!A354)</f>
        <v>62.5</v>
      </c>
    </row>
    <row r="354" spans="18:18" x14ac:dyDescent="0.3">
      <c r="R354" s="32">
        <f>IF(Dados!A355="","",Dados!A355)</f>
        <v>44.2</v>
      </c>
    </row>
    <row r="355" spans="18:18" x14ac:dyDescent="0.3">
      <c r="R355" s="32">
        <f>IF(Dados!A356="","",Dados!A356)</f>
        <v>22</v>
      </c>
    </row>
    <row r="356" spans="18:18" x14ac:dyDescent="0.3">
      <c r="R356" s="32">
        <f>IF(Dados!A357="","",Dados!A357)</f>
        <v>31</v>
      </c>
    </row>
    <row r="357" spans="18:18" x14ac:dyDescent="0.3">
      <c r="R357" s="32">
        <f>IF(Dados!A358="","",Dados!A358)</f>
        <v>28.5</v>
      </c>
    </row>
    <row r="358" spans="18:18" x14ac:dyDescent="0.3">
      <c r="R358" s="32">
        <f>IF(Dados!A359="","",Dados!A359)</f>
        <v>22</v>
      </c>
    </row>
    <row r="359" spans="18:18" x14ac:dyDescent="0.3">
      <c r="R359" s="32">
        <f>IF(Dados!A360="","",Dados!A360)</f>
        <v>14.4</v>
      </c>
    </row>
    <row r="360" spans="18:18" x14ac:dyDescent="0.3">
      <c r="R360" s="32">
        <f>IF(Dados!A361="","",Dados!A361)</f>
        <v>34</v>
      </c>
    </row>
    <row r="361" spans="18:18" x14ac:dyDescent="0.3">
      <c r="R361" s="32">
        <f>IF(Dados!A362="","",Dados!A362)</f>
        <v>37.799999999999997</v>
      </c>
    </row>
    <row r="362" spans="18:18" x14ac:dyDescent="0.3">
      <c r="R362" s="32">
        <f>IF(Dados!A363="","",Dados!A363)</f>
        <v>23.6</v>
      </c>
    </row>
    <row r="363" spans="18:18" x14ac:dyDescent="0.3">
      <c r="R363" s="32">
        <f>IF(Dados!A364="","",Dados!A364)</f>
        <v>18</v>
      </c>
    </row>
    <row r="364" spans="18:18" x14ac:dyDescent="0.3">
      <c r="R364" s="32">
        <f>IF(Dados!A365="","",Dados!A365)</f>
        <v>17</v>
      </c>
    </row>
    <row r="365" spans="18:18" x14ac:dyDescent="0.3">
      <c r="R365" s="32">
        <f>IF(Dados!A366="","",Dados!A366)</f>
        <v>18.3</v>
      </c>
    </row>
    <row r="366" spans="18:18" x14ac:dyDescent="0.3">
      <c r="R366" s="32">
        <f>IF(Dados!A367="","",Dados!A367)</f>
        <v>37</v>
      </c>
    </row>
    <row r="367" spans="18:18" x14ac:dyDescent="0.3">
      <c r="R367" s="32">
        <f>IF(Dados!A368="","",Dados!A368)</f>
        <v>82.3</v>
      </c>
    </row>
    <row r="368" spans="18:18" x14ac:dyDescent="0.3">
      <c r="R368" s="32">
        <f>IF(Dados!A369="","",Dados!A369)</f>
        <v>80.3</v>
      </c>
    </row>
    <row r="369" spans="18:18" x14ac:dyDescent="0.3">
      <c r="R369" s="32">
        <f>IF(Dados!A370="","",Dados!A370)</f>
        <v>48</v>
      </c>
    </row>
    <row r="370" spans="18:18" x14ac:dyDescent="0.3">
      <c r="R370" s="32">
        <f>IF(Dados!A371="","",Dados!A371)</f>
        <v>79.400000000000006</v>
      </c>
    </row>
    <row r="371" spans="18:18" x14ac:dyDescent="0.3">
      <c r="R371" s="32">
        <f>IF(Dados!A372="","",Dados!A372)</f>
        <v>63.5</v>
      </c>
    </row>
    <row r="372" spans="18:18" x14ac:dyDescent="0.3">
      <c r="R372" s="32">
        <f>IF(Dados!A373="","",Dados!A373)</f>
        <v>65.599999999999994</v>
      </c>
    </row>
    <row r="373" spans="18:18" x14ac:dyDescent="0.3">
      <c r="R373" s="32">
        <f>IF(Dados!A374="","",Dados!A374)</f>
        <v>75.599999999999994</v>
      </c>
    </row>
    <row r="374" spans="18:18" x14ac:dyDescent="0.3">
      <c r="R374" s="32">
        <f>IF(Dados!A375="","",Dados!A375)</f>
        <v>56.7</v>
      </c>
    </row>
    <row r="375" spans="18:18" x14ac:dyDescent="0.3">
      <c r="R375" s="32">
        <f>IF(Dados!A376="","",Dados!A376)</f>
        <v>69.5</v>
      </c>
    </row>
    <row r="376" spans="18:18" x14ac:dyDescent="0.3">
      <c r="R376" s="32">
        <f>IF(Dados!A377="","",Dados!A377)</f>
        <v>26</v>
      </c>
    </row>
    <row r="377" spans="18:18" x14ac:dyDescent="0.3">
      <c r="R377" s="32">
        <f>IF(Dados!A378="","",Dados!A378)</f>
        <v>56</v>
      </c>
    </row>
    <row r="378" spans="18:18" x14ac:dyDescent="0.3">
      <c r="R378" s="32">
        <f>IF(Dados!A379="","",Dados!A379)</f>
        <v>37.4</v>
      </c>
    </row>
    <row r="379" spans="18:18" x14ac:dyDescent="0.3">
      <c r="R379" s="32">
        <f>IF(Dados!A380="","",Dados!A380)</f>
        <v>58.8</v>
      </c>
    </row>
    <row r="380" spans="18:18" x14ac:dyDescent="0.3">
      <c r="R380" s="32">
        <f>IF(Dados!A381="","",Dados!A381)</f>
        <v>19</v>
      </c>
    </row>
    <row r="381" spans="18:18" x14ac:dyDescent="0.3">
      <c r="R381" s="32">
        <f>IF(Dados!A382="","",Dados!A382)</f>
        <v>85.5</v>
      </c>
    </row>
    <row r="382" spans="18:18" x14ac:dyDescent="0.3">
      <c r="R382" s="32">
        <f>IF(Dados!A383="","",Dados!A383)</f>
        <v>30.8</v>
      </c>
    </row>
    <row r="383" spans="18:18" x14ac:dyDescent="0.3">
      <c r="R383" s="32">
        <f>IF(Dados!A384="","",Dados!A384)</f>
        <v>70</v>
      </c>
    </row>
    <row r="384" spans="18:18" x14ac:dyDescent="0.3">
      <c r="R384" s="32">
        <f>IF(Dados!A385="","",Dados!A385)</f>
        <v>121.5</v>
      </c>
    </row>
    <row r="385" spans="18:18" x14ac:dyDescent="0.3">
      <c r="R385" s="32">
        <f>IF(Dados!A386="","",Dados!A386)</f>
        <v>76.5</v>
      </c>
    </row>
    <row r="386" spans="18:18" x14ac:dyDescent="0.3">
      <c r="R386" s="32">
        <f>IF(Dados!A387="","",Dados!A387)</f>
        <v>167.8</v>
      </c>
    </row>
    <row r="387" spans="18:18" x14ac:dyDescent="0.3">
      <c r="R387" s="32">
        <f>IF(Dados!A388="","",Dados!A388)</f>
        <v>128.19999999999999</v>
      </c>
    </row>
    <row r="388" spans="18:18" x14ac:dyDescent="0.3">
      <c r="R388" s="32">
        <f>IF(Dados!A389="","",Dados!A389)</f>
        <v>20</v>
      </c>
    </row>
    <row r="389" spans="18:18" x14ac:dyDescent="0.3">
      <c r="R389" s="32">
        <f>IF(Dados!A390="","",Dados!A390)</f>
        <v>21.5</v>
      </c>
    </row>
    <row r="390" spans="18:18" x14ac:dyDescent="0.3">
      <c r="R390" s="32">
        <f>IF(Dados!A391="","",Dados!A391)</f>
        <v>25.7</v>
      </c>
    </row>
    <row r="391" spans="18:18" x14ac:dyDescent="0.3">
      <c r="R391" s="32">
        <f>IF(Dados!A392="","",Dados!A392)</f>
        <v>25.2</v>
      </c>
    </row>
    <row r="392" spans="18:18" x14ac:dyDescent="0.3">
      <c r="R392" s="32">
        <f>IF(Dados!A393="","",Dados!A393)</f>
        <v>23</v>
      </c>
    </row>
    <row r="393" spans="18:18" x14ac:dyDescent="0.3">
      <c r="R393" s="32">
        <f>IF(Dados!A394="","",Dados!A394)</f>
        <v>33.200000000000003</v>
      </c>
    </row>
    <row r="394" spans="18:18" x14ac:dyDescent="0.3">
      <c r="R394" s="32">
        <f>IF(Dados!A395="","",Dados!A395)</f>
        <v>30.6</v>
      </c>
    </row>
    <row r="395" spans="18:18" x14ac:dyDescent="0.3">
      <c r="R395" s="32">
        <f>IF(Dados!A396="","",Dados!A396)</f>
        <v>29.3</v>
      </c>
    </row>
    <row r="396" spans="18:18" x14ac:dyDescent="0.3">
      <c r="R396" s="32">
        <f>IF(Dados!A397="","",Dados!A397)</f>
        <v>43</v>
      </c>
    </row>
    <row r="397" spans="18:18" x14ac:dyDescent="0.3">
      <c r="R397" s="32">
        <f>IF(Dados!A398="","",Dados!A398)</f>
        <v>28.5</v>
      </c>
    </row>
    <row r="398" spans="18:18" x14ac:dyDescent="0.3">
      <c r="R398" s="32">
        <f>IF(Dados!A399="","",Dados!A399)</f>
        <v>18.600000000000001</v>
      </c>
    </row>
    <row r="399" spans="18:18" x14ac:dyDescent="0.3">
      <c r="R399" s="32">
        <f>IF(Dados!A400="","",Dados!A400)</f>
        <v>69</v>
      </c>
    </row>
    <row r="400" spans="18:18" x14ac:dyDescent="0.3">
      <c r="R400" s="32">
        <f>IF(Dados!A401="","",Dados!A401)</f>
        <v>94.3</v>
      </c>
    </row>
    <row r="401" spans="18:18" x14ac:dyDescent="0.3">
      <c r="R401" s="32">
        <f>IF(Dados!A402="","",Dados!A402)</f>
        <v>50.6</v>
      </c>
    </row>
    <row r="402" spans="18:18" x14ac:dyDescent="0.3">
      <c r="R402" s="32">
        <f>IF(Dados!A403="","",Dados!A403)</f>
        <v>54</v>
      </c>
    </row>
    <row r="403" spans="18:18" x14ac:dyDescent="0.3">
      <c r="R403" s="32">
        <f>IF(Dados!A404="","",Dados!A404)</f>
        <v>41.1</v>
      </c>
    </row>
    <row r="404" spans="18:18" x14ac:dyDescent="0.3">
      <c r="R404" s="32">
        <f>IF(Dados!A405="","",Dados!A405)</f>
        <v>27.3</v>
      </c>
    </row>
    <row r="405" spans="18:18" x14ac:dyDescent="0.3">
      <c r="R405" s="32">
        <f>IF(Dados!A406="","",Dados!A406)</f>
        <v>53.8</v>
      </c>
    </row>
    <row r="406" spans="18:18" x14ac:dyDescent="0.3">
      <c r="R406" s="32">
        <f>IF(Dados!A407="","",Dados!A407)</f>
        <v>43.8</v>
      </c>
    </row>
    <row r="407" spans="18:18" x14ac:dyDescent="0.3">
      <c r="R407" s="32">
        <f>IF(Dados!A408="","",Dados!A408)</f>
        <v>32</v>
      </c>
    </row>
    <row r="408" spans="18:18" x14ac:dyDescent="0.3">
      <c r="R408" s="32">
        <f>IF(Dados!A409="","",Dados!A409)</f>
        <v>80.7</v>
      </c>
    </row>
    <row r="409" spans="18:18" x14ac:dyDescent="0.3">
      <c r="R409" s="32">
        <f>IF(Dados!A410="","",Dados!A410)</f>
        <v>88.5</v>
      </c>
    </row>
    <row r="410" spans="18:18" x14ac:dyDescent="0.3">
      <c r="R410" s="32">
        <f>IF(Dados!A411="","",Dados!A411)</f>
        <v>42.2</v>
      </c>
    </row>
    <row r="411" spans="18:18" x14ac:dyDescent="0.3">
      <c r="R411" s="32">
        <f>IF(Dados!A412="","",Dados!A412)</f>
        <v>30</v>
      </c>
    </row>
    <row r="412" spans="18:18" x14ac:dyDescent="0.3">
      <c r="R412" s="32">
        <f>IF(Dados!A413="","",Dados!A413)</f>
        <v>34</v>
      </c>
    </row>
    <row r="413" spans="18:18" x14ac:dyDescent="0.3">
      <c r="R413" s="32">
        <f>IF(Dados!A414="","",Dados!A414)</f>
        <v>24.8</v>
      </c>
    </row>
    <row r="414" spans="18:18" x14ac:dyDescent="0.3">
      <c r="R414" s="32">
        <f>IF(Dados!A415="","",Dados!A415)</f>
        <v>61.5</v>
      </c>
    </row>
    <row r="415" spans="18:18" x14ac:dyDescent="0.3">
      <c r="R415" s="32">
        <f>IF(Dados!A416="","",Dados!A416)</f>
        <v>40.799999999999997</v>
      </c>
    </row>
    <row r="416" spans="18:18" x14ac:dyDescent="0.3">
      <c r="R416" s="32">
        <f>IF(Dados!A417="","",Dados!A417)</f>
        <v>20.8</v>
      </c>
    </row>
    <row r="417" spans="18:18" x14ac:dyDescent="0.3">
      <c r="R417" s="32">
        <f>IF(Dados!A418="","",Dados!A418)</f>
        <v>25</v>
      </c>
    </row>
    <row r="418" spans="18:18" x14ac:dyDescent="0.3">
      <c r="R418" s="32">
        <f>IF(Dados!A419="","",Dados!A419)</f>
        <v>21</v>
      </c>
    </row>
    <row r="419" spans="18:18" x14ac:dyDescent="0.3">
      <c r="R419" s="32">
        <f>IF(Dados!A420="","",Dados!A420)</f>
        <v>22.5</v>
      </c>
    </row>
    <row r="420" spans="18:18" x14ac:dyDescent="0.3">
      <c r="R420" s="32">
        <f>IF(Dados!A421="","",Dados!A421)</f>
        <v>18</v>
      </c>
    </row>
    <row r="421" spans="18:18" x14ac:dyDescent="0.3">
      <c r="R421" s="32">
        <f>IF(Dados!A422="","",Dados!A422)</f>
        <v>58.4</v>
      </c>
    </row>
    <row r="422" spans="18:18" x14ac:dyDescent="0.3">
      <c r="R422" s="32">
        <f>IF(Dados!A423="","",Dados!A423)</f>
        <v>94.5</v>
      </c>
    </row>
    <row r="423" spans="18:18" x14ac:dyDescent="0.3">
      <c r="R423" s="32">
        <f>IF(Dados!A424="","",Dados!A424)</f>
        <v>42.3</v>
      </c>
    </row>
    <row r="424" spans="18:18" x14ac:dyDescent="0.3">
      <c r="R424" s="32">
        <f>IF(Dados!A425="","",Dados!A425)</f>
        <v>69.7</v>
      </c>
    </row>
    <row r="425" spans="18:18" x14ac:dyDescent="0.3">
      <c r="R425" s="32">
        <f>IF(Dados!A426="","",Dados!A426)</f>
        <v>59.5</v>
      </c>
    </row>
    <row r="426" spans="18:18" x14ac:dyDescent="0.3">
      <c r="R426" s="32">
        <f>IF(Dados!A427="","",Dados!A427)</f>
        <v>35.6</v>
      </c>
    </row>
    <row r="427" spans="18:18" x14ac:dyDescent="0.3">
      <c r="R427" s="32">
        <f>IF(Dados!A428="","",Dados!A428)</f>
        <v>143.6</v>
      </c>
    </row>
    <row r="428" spans="18:18" x14ac:dyDescent="0.3">
      <c r="R428" s="32">
        <f>IF(Dados!A429="","",Dados!A429)</f>
        <v>64.5</v>
      </c>
    </row>
    <row r="429" spans="18:18" x14ac:dyDescent="0.3">
      <c r="R429" s="32">
        <f>IF(Dados!A430="","",Dados!A430)</f>
        <v>18.5</v>
      </c>
    </row>
    <row r="430" spans="18:18" x14ac:dyDescent="0.3">
      <c r="R430" s="32">
        <f>IF(Dados!A431="","",Dados!A431)</f>
        <v>43</v>
      </c>
    </row>
    <row r="431" spans="18:18" x14ac:dyDescent="0.3">
      <c r="R431" s="32">
        <f>IF(Dados!A432="","",Dados!A432)</f>
        <v>25.7</v>
      </c>
    </row>
    <row r="432" spans="18:18" x14ac:dyDescent="0.3">
      <c r="R432" s="32">
        <f>IF(Dados!A433="","",Dados!A433)</f>
        <v>62</v>
      </c>
    </row>
    <row r="433" spans="18:18" x14ac:dyDescent="0.3">
      <c r="R433" s="32">
        <f>IF(Dados!A434="","",Dados!A434)</f>
        <v>18.8</v>
      </c>
    </row>
    <row r="434" spans="18:18" x14ac:dyDescent="0.3">
      <c r="R434" s="32">
        <f>IF(Dados!A435="","",Dados!A435)</f>
        <v>18.8</v>
      </c>
    </row>
    <row r="435" spans="18:18" x14ac:dyDescent="0.3">
      <c r="R435" s="32">
        <f>IF(Dados!A436="","",Dados!A436)</f>
        <v>17.2</v>
      </c>
    </row>
    <row r="436" spans="18:18" x14ac:dyDescent="0.3">
      <c r="R436" s="32">
        <f>IF(Dados!A437="","",Dados!A437)</f>
        <v>33</v>
      </c>
    </row>
    <row r="437" spans="18:18" x14ac:dyDescent="0.3">
      <c r="R437" s="32">
        <f>IF(Dados!A438="","",Dados!A438)</f>
        <v>19.2</v>
      </c>
    </row>
    <row r="438" spans="18:18" x14ac:dyDescent="0.3">
      <c r="R438" s="32">
        <f>IF(Dados!A439="","",Dados!A439)</f>
        <v>23.8</v>
      </c>
    </row>
    <row r="439" spans="18:18" x14ac:dyDescent="0.3">
      <c r="R439" s="32">
        <f>IF(Dados!A440="","",Dados!A440)</f>
        <v>100.8</v>
      </c>
    </row>
    <row r="440" spans="18:18" x14ac:dyDescent="0.3">
      <c r="R440" s="32">
        <f>IF(Dados!A441="","",Dados!A441)</f>
        <v>64.599999999999994</v>
      </c>
    </row>
    <row r="441" spans="18:18" x14ac:dyDescent="0.3">
      <c r="R441" s="32">
        <f>IF(Dados!A442="","",Dados!A442)</f>
        <v>80.099999999999994</v>
      </c>
    </row>
    <row r="442" spans="18:18" x14ac:dyDescent="0.3">
      <c r="R442" s="32">
        <f>IF(Dados!A443="","",Dados!A443)</f>
        <v>81</v>
      </c>
    </row>
    <row r="443" spans="18:18" x14ac:dyDescent="0.3">
      <c r="R443" s="32">
        <f>IF(Dados!A444="","",Dados!A444)</f>
        <v>66</v>
      </c>
    </row>
    <row r="444" spans="18:18" x14ac:dyDescent="0.3">
      <c r="R444" s="32">
        <f>IF(Dados!A445="","",Dados!A445)</f>
        <v>74.7</v>
      </c>
    </row>
    <row r="445" spans="18:18" x14ac:dyDescent="0.3">
      <c r="R445" s="32">
        <f>IF(Dados!A446="","",Dados!A446)</f>
        <v>54.2</v>
      </c>
    </row>
    <row r="446" spans="18:18" x14ac:dyDescent="0.3">
      <c r="R446" s="32">
        <f>IF(Dados!A447="","",Dados!A447)</f>
        <v>75.2</v>
      </c>
    </row>
    <row r="447" spans="18:18" x14ac:dyDescent="0.3">
      <c r="R447" s="32">
        <f>IF(Dados!A448="","",Dados!A448)</f>
        <v>52.7</v>
      </c>
    </row>
    <row r="448" spans="18:18" x14ac:dyDescent="0.3">
      <c r="R448" s="32">
        <f>IF(Dados!A449="","",Dados!A449)</f>
        <v>87.8</v>
      </c>
    </row>
    <row r="449" spans="18:18" x14ac:dyDescent="0.3">
      <c r="R449" s="32">
        <f>IF(Dados!A450="","",Dados!A450)</f>
        <v>17.899999999999999</v>
      </c>
    </row>
    <row r="450" spans="18:18" x14ac:dyDescent="0.3">
      <c r="R450" s="32">
        <f>IF(Dados!A451="","",Dados!A451)</f>
        <v>169.5</v>
      </c>
    </row>
    <row r="451" spans="18:18" x14ac:dyDescent="0.3">
      <c r="R451" s="32">
        <f>IF(Dados!A452="","",Dados!A452)</f>
        <v>31.7</v>
      </c>
    </row>
    <row r="452" spans="18:18" x14ac:dyDescent="0.3">
      <c r="R452" s="32">
        <f>IF(Dados!A453="","",Dados!A453)</f>
        <v>29.3</v>
      </c>
    </row>
    <row r="453" spans="18:18" x14ac:dyDescent="0.3">
      <c r="R453" s="32">
        <f>IF(Dados!A454="","",Dados!A454)</f>
        <v>23</v>
      </c>
    </row>
    <row r="454" spans="18:18" x14ac:dyDescent="0.3">
      <c r="R454" s="32">
        <f>IF(Dados!A455="","",Dados!A455)</f>
        <v>18</v>
      </c>
    </row>
    <row r="455" spans="18:18" x14ac:dyDescent="0.3">
      <c r="R455" s="32">
        <f>IF(Dados!A456="","",Dados!A456)</f>
        <v>20</v>
      </c>
    </row>
    <row r="456" spans="18:18" x14ac:dyDescent="0.3">
      <c r="R456" s="32">
        <f>IF(Dados!A457="","",Dados!A457)</f>
        <v>22.2</v>
      </c>
    </row>
    <row r="457" spans="18:18" x14ac:dyDescent="0.3">
      <c r="R457" s="32">
        <f>IF(Dados!A458="","",Dados!A458)</f>
        <v>23.7</v>
      </c>
    </row>
    <row r="458" spans="18:18" x14ac:dyDescent="0.3">
      <c r="R458" s="32">
        <f>IF(Dados!A459="","",Dados!A459)</f>
        <v>121.1</v>
      </c>
    </row>
    <row r="459" spans="18:18" x14ac:dyDescent="0.3">
      <c r="R459" s="32">
        <f>IF(Dados!A460="","",Dados!A460)</f>
        <v>69.8</v>
      </c>
    </row>
    <row r="460" spans="18:18" x14ac:dyDescent="0.3">
      <c r="R460" s="32">
        <f>IF(Dados!A461="","",Dados!A461)</f>
        <v>53.7</v>
      </c>
    </row>
    <row r="461" spans="18:18" x14ac:dyDescent="0.3">
      <c r="R461" s="32">
        <f>IF(Dados!A462="","",Dados!A462)</f>
        <v>36.9</v>
      </c>
    </row>
    <row r="462" spans="18:18" x14ac:dyDescent="0.3">
      <c r="R462" s="32">
        <f>IF(Dados!A463="","",Dados!A463)</f>
        <v>46</v>
      </c>
    </row>
    <row r="463" spans="18:18" x14ac:dyDescent="0.3">
      <c r="R463" s="32">
        <f>IF(Dados!A464="","",Dados!A464)</f>
        <v>66.2</v>
      </c>
    </row>
    <row r="464" spans="18:18" x14ac:dyDescent="0.3">
      <c r="R464" s="32">
        <f>IF(Dados!A465="","",Dados!A465)</f>
        <v>64.099999999999994</v>
      </c>
    </row>
    <row r="465" spans="18:18" x14ac:dyDescent="0.3">
      <c r="R465" s="32">
        <f>IF(Dados!A466="","",Dados!A466)</f>
        <v>44.6</v>
      </c>
    </row>
    <row r="466" spans="18:18" x14ac:dyDescent="0.3">
      <c r="R466" s="32">
        <f>IF(Dados!A467="","",Dados!A467)</f>
        <v>137</v>
      </c>
    </row>
    <row r="467" spans="18:18" x14ac:dyDescent="0.3">
      <c r="R467" s="32">
        <f>IF(Dados!A468="","",Dados!A468)</f>
        <v>71.5</v>
      </c>
    </row>
    <row r="468" spans="18:18" x14ac:dyDescent="0.3">
      <c r="R468" s="32">
        <f>IF(Dados!A469="","",Dados!A469)</f>
        <v>77.5</v>
      </c>
    </row>
    <row r="469" spans="18:18" x14ac:dyDescent="0.3">
      <c r="R469" s="32">
        <f>IF(Dados!A470="","",Dados!A470)</f>
        <v>51</v>
      </c>
    </row>
    <row r="470" spans="18:18" x14ac:dyDescent="0.3">
      <c r="R470" s="32">
        <f>IF(Dados!A471="","",Dados!A471)</f>
        <v>25</v>
      </c>
    </row>
    <row r="471" spans="18:18" x14ac:dyDescent="0.3">
      <c r="R471" s="32">
        <f>IF(Dados!A472="","",Dados!A472)</f>
        <v>30</v>
      </c>
    </row>
    <row r="472" spans="18:18" x14ac:dyDescent="0.3">
      <c r="R472" s="32">
        <f>IF(Dados!A473="","",Dados!A473)</f>
        <v>35.5</v>
      </c>
    </row>
    <row r="473" spans="18:18" x14ac:dyDescent="0.3">
      <c r="R473" s="32">
        <f>IF(Dados!A474="","",Dados!A474)</f>
        <v>22.4</v>
      </c>
    </row>
    <row r="474" spans="18:18" x14ac:dyDescent="0.3">
      <c r="R474" s="32">
        <f>IF(Dados!A475="","",Dados!A475)</f>
        <v>51.2</v>
      </c>
    </row>
    <row r="475" spans="18:18" x14ac:dyDescent="0.3">
      <c r="R475" s="32">
        <f>IF(Dados!A476="","",Dados!A476)</f>
        <v>34.799999999999997</v>
      </c>
    </row>
    <row r="476" spans="18:18" x14ac:dyDescent="0.3">
      <c r="R476" s="32">
        <f>IF(Dados!A477="","",Dados!A477)</f>
        <v>29</v>
      </c>
    </row>
    <row r="477" spans="18:18" x14ac:dyDescent="0.3">
      <c r="R477" s="32">
        <f>IF(Dados!A478="","",Dados!A478)</f>
        <v>16.7</v>
      </c>
    </row>
    <row r="478" spans="18:18" x14ac:dyDescent="0.3">
      <c r="R478" s="32">
        <f>IF(Dados!A479="","",Dados!A479)</f>
        <v>21.2</v>
      </c>
    </row>
    <row r="479" spans="18:18" x14ac:dyDescent="0.3">
      <c r="R479" s="32">
        <f>IF(Dados!A480="","",Dados!A480)</f>
        <v>21.1</v>
      </c>
    </row>
    <row r="480" spans="18:18" x14ac:dyDescent="0.3">
      <c r="R480" s="32">
        <f>IF(Dados!A481="","",Dados!A481)</f>
        <v>19.600000000000001</v>
      </c>
    </row>
    <row r="481" spans="18:18" x14ac:dyDescent="0.3">
      <c r="R481" s="32">
        <f>IF(Dados!A482="","",Dados!A482)</f>
        <v>26</v>
      </c>
    </row>
    <row r="482" spans="18:18" x14ac:dyDescent="0.3">
      <c r="R482" s="32">
        <f>IF(Dados!A483="","",Dados!A483)</f>
        <v>17.2</v>
      </c>
    </row>
    <row r="483" spans="18:18" x14ac:dyDescent="0.3">
      <c r="R483" s="32">
        <f>IF(Dados!A484="","",Dados!A484)</f>
        <v>49.9</v>
      </c>
    </row>
    <row r="484" spans="18:18" x14ac:dyDescent="0.3">
      <c r="R484" s="32">
        <f>IF(Dados!A485="","",Dados!A485)</f>
        <v>52.3</v>
      </c>
    </row>
    <row r="485" spans="18:18" x14ac:dyDescent="0.3">
      <c r="R485" s="32">
        <f>IF(Dados!A486="","",Dados!A486)</f>
        <v>62.5</v>
      </c>
    </row>
    <row r="486" spans="18:18" x14ac:dyDescent="0.3">
      <c r="R486" s="32">
        <f>IF(Dados!A487="","",Dados!A487)</f>
        <v>83.2</v>
      </c>
    </row>
    <row r="487" spans="18:18" x14ac:dyDescent="0.3">
      <c r="R487" s="32">
        <f>IF(Dados!A488="","",Dados!A488)</f>
        <v>39.700000000000003</v>
      </c>
    </row>
    <row r="488" spans="18:18" x14ac:dyDescent="0.3">
      <c r="R488" s="32">
        <f>IF(Dados!A489="","",Dados!A489)</f>
        <v>129</v>
      </c>
    </row>
    <row r="489" spans="18:18" x14ac:dyDescent="0.3">
      <c r="R489" s="32">
        <f>IF(Dados!A490="","",Dados!A490)</f>
        <v>24.8</v>
      </c>
    </row>
    <row r="490" spans="18:18" x14ac:dyDescent="0.3">
      <c r="R490" s="32">
        <f>IF(Dados!A491="","",Dados!A491)</f>
        <v>127.4</v>
      </c>
    </row>
    <row r="491" spans="18:18" x14ac:dyDescent="0.3">
      <c r="R491" s="32">
        <f>IF(Dados!A492="","",Dados!A492)</f>
        <v>59.7</v>
      </c>
    </row>
    <row r="492" spans="18:18" x14ac:dyDescent="0.3">
      <c r="R492" s="32">
        <f>IF(Dados!A493="","",Dados!A493)</f>
        <v>44.1</v>
      </c>
    </row>
    <row r="493" spans="18:18" x14ac:dyDescent="0.3">
      <c r="R493" s="32">
        <f>IF(Dados!A494="","",Dados!A494)</f>
        <v>30.8</v>
      </c>
    </row>
    <row r="494" spans="18:18" x14ac:dyDescent="0.3">
      <c r="R494" s="32">
        <f>IF(Dados!A495="","",Dados!A495)</f>
        <v>28</v>
      </c>
    </row>
    <row r="495" spans="18:18" x14ac:dyDescent="0.3">
      <c r="R495" s="32">
        <f>IF(Dados!A496="","",Dados!A496)</f>
        <v>25</v>
      </c>
    </row>
    <row r="496" spans="18:18" x14ac:dyDescent="0.3">
      <c r="R496" s="32">
        <f>IF(Dados!A497="","",Dados!A497)</f>
        <v>16.3</v>
      </c>
    </row>
    <row r="497" spans="18:18" x14ac:dyDescent="0.3">
      <c r="R497" s="32">
        <f>IF(Dados!A498="","",Dados!A498)</f>
        <v>19.3</v>
      </c>
    </row>
    <row r="498" spans="18:18" x14ac:dyDescent="0.3">
      <c r="R498" s="32">
        <f>IF(Dados!A499="","",Dados!A499)</f>
        <v>54.5</v>
      </c>
    </row>
    <row r="499" spans="18:18" x14ac:dyDescent="0.3">
      <c r="R499" s="32">
        <f>IF(Dados!A500="","",Dados!A500)</f>
        <v>52.7</v>
      </c>
    </row>
    <row r="500" spans="18:18" x14ac:dyDescent="0.3">
      <c r="R500" s="32">
        <f>IF(Dados!A501="","",Dados!A501)</f>
        <v>102.5</v>
      </c>
    </row>
    <row r="501" spans="18:18" x14ac:dyDescent="0.3">
      <c r="R501" s="32">
        <f>IF(Dados!A502="","",Dados!A502)</f>
        <v>37.700000000000003</v>
      </c>
    </row>
    <row r="517" spans="18:18" x14ac:dyDescent="0.3">
      <c r="R517" s="32" t="str">
        <f>IF(Dados!A518="","",Dados!A518)</f>
        <v/>
      </c>
    </row>
    <row r="518" spans="18:18" x14ac:dyDescent="0.3">
      <c r="R518" s="32" t="str">
        <f>IF(Dados!A519="","",Dados!A519)</f>
        <v/>
      </c>
    </row>
    <row r="519" spans="18:18" x14ac:dyDescent="0.3">
      <c r="R519" s="32" t="str">
        <f>IF(Dados!A520="","",Dados!A520)</f>
        <v/>
      </c>
    </row>
    <row r="520" spans="18:18" x14ac:dyDescent="0.3">
      <c r="R520" s="32" t="str">
        <f>IF(Dados!A521="","",Dados!A521)</f>
        <v/>
      </c>
    </row>
    <row r="521" spans="18:18" x14ac:dyDescent="0.3">
      <c r="R521" s="32" t="str">
        <f>IF(Dados!A522="","",Dados!A522)</f>
        <v/>
      </c>
    </row>
    <row r="522" spans="18:18" x14ac:dyDescent="0.3">
      <c r="R522" s="32" t="str">
        <f>IF(Dados!A523="","",Dados!A523)</f>
        <v/>
      </c>
    </row>
    <row r="523" spans="18:18" x14ac:dyDescent="0.3">
      <c r="R523" s="32" t="str">
        <f>IF(Dados!A524="","",Dados!A524)</f>
        <v/>
      </c>
    </row>
    <row r="524" spans="18:18" x14ac:dyDescent="0.3">
      <c r="R524" s="32" t="str">
        <f>IF(Dados!A525="","",Dados!A525)</f>
        <v/>
      </c>
    </row>
    <row r="525" spans="18:18" x14ac:dyDescent="0.3">
      <c r="R525" s="32" t="str">
        <f>IF(Dados!A526="","",Dados!A526)</f>
        <v/>
      </c>
    </row>
    <row r="526" spans="18:18" x14ac:dyDescent="0.3">
      <c r="R526" s="32" t="str">
        <f>IF(Dados!A527="","",Dados!A527)</f>
        <v/>
      </c>
    </row>
    <row r="527" spans="18:18" x14ac:dyDescent="0.3">
      <c r="R527" s="32" t="str">
        <f>IF(Dados!A528="","",Dados!A528)</f>
        <v/>
      </c>
    </row>
    <row r="528" spans="18:18" x14ac:dyDescent="0.3">
      <c r="R528" s="32" t="str">
        <f>IF(Dados!A529="","",Dados!A529)</f>
        <v/>
      </c>
    </row>
    <row r="529" spans="18:18" x14ac:dyDescent="0.3">
      <c r="R529" s="32" t="str">
        <f>IF(Dados!A530="","",Dados!A530)</f>
        <v/>
      </c>
    </row>
    <row r="530" spans="18:18" x14ac:dyDescent="0.3">
      <c r="R530" s="32" t="str">
        <f>IF(Dados!A531="","",Dados!A531)</f>
        <v/>
      </c>
    </row>
    <row r="531" spans="18:18" x14ac:dyDescent="0.3">
      <c r="R531" s="32" t="str">
        <f>IF(Dados!A532="","",Dados!A532)</f>
        <v/>
      </c>
    </row>
    <row r="532" spans="18:18" x14ac:dyDescent="0.3">
      <c r="R532" s="32" t="str">
        <f>IF(Dados!A533="","",Dados!A533)</f>
        <v/>
      </c>
    </row>
    <row r="533" spans="18:18" x14ac:dyDescent="0.3">
      <c r="R533" s="32" t="str">
        <f>IF(Dados!A534="","",Dados!A534)</f>
        <v/>
      </c>
    </row>
    <row r="534" spans="18:18" x14ac:dyDescent="0.3">
      <c r="R534" s="32" t="str">
        <f>IF(Dados!A535="","",Dados!A535)</f>
        <v/>
      </c>
    </row>
    <row r="535" spans="18:18" x14ac:dyDescent="0.3">
      <c r="R535" s="32" t="str">
        <f>IF(Dados!A536="","",Dados!A536)</f>
        <v/>
      </c>
    </row>
    <row r="536" spans="18:18" x14ac:dyDescent="0.3">
      <c r="R536" s="32" t="str">
        <f>IF(Dados!A537="","",Dados!A537)</f>
        <v/>
      </c>
    </row>
    <row r="537" spans="18:18" x14ac:dyDescent="0.3">
      <c r="R537" s="32" t="str">
        <f>IF(Dados!A538="","",Dados!A538)</f>
        <v/>
      </c>
    </row>
    <row r="538" spans="18:18" x14ac:dyDescent="0.3">
      <c r="R538" s="32" t="str">
        <f>IF(Dados!A539="","",Dados!A539)</f>
        <v/>
      </c>
    </row>
    <row r="539" spans="18:18" x14ac:dyDescent="0.3">
      <c r="R539" s="32" t="str">
        <f>IF(Dados!A540="","",Dados!A540)</f>
        <v/>
      </c>
    </row>
    <row r="540" spans="18:18" x14ac:dyDescent="0.3">
      <c r="R540" s="32" t="str">
        <f>IF(Dados!A541="","",Dados!A541)</f>
        <v/>
      </c>
    </row>
    <row r="541" spans="18:18" x14ac:dyDescent="0.3">
      <c r="R541" s="32" t="str">
        <f>IF(Dados!A542="","",Dados!A542)</f>
        <v/>
      </c>
    </row>
    <row r="542" spans="18:18" x14ac:dyDescent="0.3">
      <c r="R542" s="32" t="str">
        <f>IF(Dados!A543="","",Dados!A543)</f>
        <v/>
      </c>
    </row>
    <row r="543" spans="18:18" x14ac:dyDescent="0.3">
      <c r="R543" s="32" t="str">
        <f>IF(Dados!A544="","",Dados!A544)</f>
        <v/>
      </c>
    </row>
    <row r="544" spans="18:18" x14ac:dyDescent="0.3">
      <c r="R544" s="32" t="str">
        <f>IF(Dados!A545="","",Dados!A545)</f>
        <v/>
      </c>
    </row>
    <row r="545" spans="18:18" x14ac:dyDescent="0.3">
      <c r="R545" s="32" t="str">
        <f>IF(Dados!A546="","",Dados!A546)</f>
        <v/>
      </c>
    </row>
    <row r="546" spans="18:18" x14ac:dyDescent="0.3">
      <c r="R546" s="32" t="str">
        <f>IF(Dados!A547="","",Dados!A547)</f>
        <v/>
      </c>
    </row>
    <row r="547" spans="18:18" x14ac:dyDescent="0.3">
      <c r="R547" s="32" t="str">
        <f>IF(Dados!A548="","",Dados!A548)</f>
        <v/>
      </c>
    </row>
    <row r="548" spans="18:18" x14ac:dyDescent="0.3">
      <c r="R548" s="32" t="str">
        <f>IF(Dados!A549="","",Dados!A549)</f>
        <v/>
      </c>
    </row>
    <row r="549" spans="18:18" x14ac:dyDescent="0.3">
      <c r="R549" s="32" t="str">
        <f>IF(Dados!A550="","",Dados!A550)</f>
        <v/>
      </c>
    </row>
    <row r="550" spans="18:18" x14ac:dyDescent="0.3">
      <c r="R550" s="32" t="str">
        <f>IF(Dados!A551="","",Dados!A551)</f>
        <v/>
      </c>
    </row>
    <row r="551" spans="18:18" x14ac:dyDescent="0.3">
      <c r="R551" s="32" t="str">
        <f>IF(Dados!A552="","",Dados!A552)</f>
        <v/>
      </c>
    </row>
    <row r="552" spans="18:18" x14ac:dyDescent="0.3">
      <c r="R552" s="32" t="str">
        <f>IF(Dados!A553="","",Dados!A553)</f>
        <v/>
      </c>
    </row>
    <row r="553" spans="18:18" x14ac:dyDescent="0.3">
      <c r="R553" s="32" t="str">
        <f>IF(Dados!A554="","",Dados!A554)</f>
        <v/>
      </c>
    </row>
    <row r="554" spans="18:18" x14ac:dyDescent="0.3">
      <c r="R554" s="32" t="str">
        <f>IF(Dados!A555="","",Dados!A555)</f>
        <v/>
      </c>
    </row>
    <row r="555" spans="18:18" x14ac:dyDescent="0.3">
      <c r="R555" s="32" t="str">
        <f>IF(Dados!A556="","",Dados!A556)</f>
        <v/>
      </c>
    </row>
    <row r="556" spans="18:18" x14ac:dyDescent="0.3">
      <c r="R556" s="32" t="str">
        <f>IF(Dados!A557="","",Dados!A557)</f>
        <v/>
      </c>
    </row>
    <row r="557" spans="18:18" x14ac:dyDescent="0.3">
      <c r="R557" s="32" t="str">
        <f>IF(Dados!A558="","",Dados!A558)</f>
        <v/>
      </c>
    </row>
    <row r="558" spans="18:18" x14ac:dyDescent="0.3">
      <c r="R558" s="32" t="str">
        <f>IF(Dados!A559="","",Dados!A559)</f>
        <v/>
      </c>
    </row>
    <row r="559" spans="18:18" x14ac:dyDescent="0.3">
      <c r="R559" s="32" t="str">
        <f>IF(Dados!A560="","",Dados!A560)</f>
        <v/>
      </c>
    </row>
    <row r="560" spans="18:18" x14ac:dyDescent="0.3">
      <c r="R560" s="32" t="str">
        <f>IF(Dados!A561="","",Dados!A561)</f>
        <v/>
      </c>
    </row>
    <row r="561" spans="18:18" x14ac:dyDescent="0.3">
      <c r="R561" s="32" t="str">
        <f>IF(Dados!A562="","",Dados!A562)</f>
        <v/>
      </c>
    </row>
    <row r="562" spans="18:18" x14ac:dyDescent="0.3">
      <c r="R562" s="32" t="str">
        <f>IF(Dados!A563="","",Dados!A563)</f>
        <v/>
      </c>
    </row>
    <row r="563" spans="18:18" x14ac:dyDescent="0.3">
      <c r="R563" s="32" t="str">
        <f>IF(Dados!A564="","",Dados!A564)</f>
        <v/>
      </c>
    </row>
    <row r="564" spans="18:18" x14ac:dyDescent="0.3">
      <c r="R564" s="32" t="str">
        <f>IF(Dados!A565="","",Dados!A565)</f>
        <v/>
      </c>
    </row>
    <row r="565" spans="18:18" x14ac:dyDescent="0.3">
      <c r="R565" s="32" t="str">
        <f>IF(Dados!A566="","",Dados!A566)</f>
        <v/>
      </c>
    </row>
    <row r="566" spans="18:18" x14ac:dyDescent="0.3">
      <c r="R566" s="32" t="str">
        <f>IF(Dados!A567="","",Dados!A567)</f>
        <v/>
      </c>
    </row>
    <row r="567" spans="18:18" x14ac:dyDescent="0.3">
      <c r="R567" s="32" t="str">
        <f>IF(Dados!A568="","",Dados!A568)</f>
        <v/>
      </c>
    </row>
    <row r="568" spans="18:18" x14ac:dyDescent="0.3">
      <c r="R568" s="32" t="str">
        <f>IF(Dados!A569="","",Dados!A569)</f>
        <v/>
      </c>
    </row>
    <row r="569" spans="18:18" x14ac:dyDescent="0.3">
      <c r="R569" s="32" t="str">
        <f>IF(Dados!A570="","",Dados!A570)</f>
        <v/>
      </c>
    </row>
    <row r="570" spans="18:18" x14ac:dyDescent="0.3">
      <c r="R570" s="32" t="str">
        <f>IF(Dados!A571="","",Dados!A571)</f>
        <v/>
      </c>
    </row>
    <row r="571" spans="18:18" x14ac:dyDescent="0.3">
      <c r="R571" s="32" t="str">
        <f>IF(Dados!A572="","",Dados!A572)</f>
        <v/>
      </c>
    </row>
    <row r="572" spans="18:18" x14ac:dyDescent="0.3">
      <c r="R572" s="32" t="str">
        <f>IF(Dados!A573="","",Dados!A573)</f>
        <v/>
      </c>
    </row>
    <row r="573" spans="18:18" x14ac:dyDescent="0.3">
      <c r="R573" s="32" t="str">
        <f>IF(Dados!A574="","",Dados!A574)</f>
        <v/>
      </c>
    </row>
    <row r="574" spans="18:18" x14ac:dyDescent="0.3">
      <c r="R574" s="32" t="str">
        <f>IF(Dados!A575="","",Dados!A575)</f>
        <v/>
      </c>
    </row>
    <row r="575" spans="18:18" x14ac:dyDescent="0.3">
      <c r="R575" s="32" t="str">
        <f>IF(Dados!A576="","",Dados!A576)</f>
        <v/>
      </c>
    </row>
    <row r="576" spans="18:18" x14ac:dyDescent="0.3">
      <c r="R576" s="32" t="str">
        <f>IF(Dados!A577="","",Dados!A577)</f>
        <v/>
      </c>
    </row>
    <row r="577" spans="18:18" x14ac:dyDescent="0.3">
      <c r="R577" s="32" t="str">
        <f>IF(Dados!A578="","",Dados!A578)</f>
        <v/>
      </c>
    </row>
    <row r="578" spans="18:18" x14ac:dyDescent="0.3">
      <c r="R578" s="32" t="str">
        <f>IF(Dados!A579="","",Dados!A579)</f>
        <v/>
      </c>
    </row>
    <row r="579" spans="18:18" x14ac:dyDescent="0.3">
      <c r="R579" s="32" t="str">
        <f>IF(Dados!A580="","",Dados!A580)</f>
        <v/>
      </c>
    </row>
    <row r="580" spans="18:18" x14ac:dyDescent="0.3">
      <c r="R580" s="32" t="str">
        <f>IF(Dados!A581="","",Dados!A581)</f>
        <v/>
      </c>
    </row>
    <row r="581" spans="18:18" x14ac:dyDescent="0.3">
      <c r="R581" s="32" t="str">
        <f>IF(Dados!A582="","",Dados!A582)</f>
        <v/>
      </c>
    </row>
    <row r="582" spans="18:18" x14ac:dyDescent="0.3">
      <c r="R582" s="32" t="str">
        <f>IF(Dados!A583="","",Dados!A583)</f>
        <v/>
      </c>
    </row>
    <row r="583" spans="18:18" x14ac:dyDescent="0.3">
      <c r="R583" s="32" t="str">
        <f>IF(Dados!A584="","",Dados!A584)</f>
        <v/>
      </c>
    </row>
    <row r="584" spans="18:18" x14ac:dyDescent="0.3">
      <c r="R584" s="32" t="str">
        <f>IF(Dados!A585="","",Dados!A585)</f>
        <v/>
      </c>
    </row>
    <row r="585" spans="18:18" x14ac:dyDescent="0.3">
      <c r="R585" s="32" t="str">
        <f>IF(Dados!A586="","",Dados!A586)</f>
        <v/>
      </c>
    </row>
    <row r="586" spans="18:18" x14ac:dyDescent="0.3">
      <c r="R586" s="32" t="str">
        <f>IF(Dados!A587="","",Dados!A587)</f>
        <v/>
      </c>
    </row>
    <row r="587" spans="18:18" x14ac:dyDescent="0.3">
      <c r="R587" s="32" t="str">
        <f>IF(Dados!A588="","",Dados!A588)</f>
        <v/>
      </c>
    </row>
    <row r="588" spans="18:18" x14ac:dyDescent="0.3">
      <c r="R588" s="32" t="str">
        <f>IF(Dados!A589="","",Dados!A589)</f>
        <v/>
      </c>
    </row>
    <row r="589" spans="18:18" x14ac:dyDescent="0.3">
      <c r="R589" s="32" t="str">
        <f>IF(Dados!A590="","",Dados!A590)</f>
        <v/>
      </c>
    </row>
    <row r="590" spans="18:18" x14ac:dyDescent="0.3">
      <c r="R590" s="32" t="str">
        <f>IF(Dados!A591="","",Dados!A591)</f>
        <v/>
      </c>
    </row>
    <row r="591" spans="18:18" x14ac:dyDescent="0.3">
      <c r="R591" s="32" t="str">
        <f>IF(Dados!A592="","",Dados!A592)</f>
        <v/>
      </c>
    </row>
    <row r="592" spans="18:18" x14ac:dyDescent="0.3">
      <c r="R592" s="32" t="str">
        <f>IF(Dados!A593="","",Dados!A593)</f>
        <v/>
      </c>
    </row>
    <row r="593" spans="18:18" x14ac:dyDescent="0.3">
      <c r="R593" s="32" t="str">
        <f>IF(Dados!A594="","",Dados!A594)</f>
        <v/>
      </c>
    </row>
    <row r="594" spans="18:18" x14ac:dyDescent="0.3">
      <c r="R594" s="32" t="str">
        <f>IF(Dados!A595="","",Dados!A595)</f>
        <v/>
      </c>
    </row>
    <row r="595" spans="18:18" x14ac:dyDescent="0.3">
      <c r="R595" s="32" t="str">
        <f>IF(Dados!A596="","",Dados!A596)</f>
        <v/>
      </c>
    </row>
    <row r="596" spans="18:18" x14ac:dyDescent="0.3">
      <c r="R596" s="32" t="str">
        <f>IF(Dados!A597="","",Dados!A597)</f>
        <v/>
      </c>
    </row>
    <row r="597" spans="18:18" x14ac:dyDescent="0.3">
      <c r="R597" s="32" t="str">
        <f>IF(Dados!A598="","",Dados!A598)</f>
        <v/>
      </c>
    </row>
    <row r="598" spans="18:18" x14ac:dyDescent="0.3">
      <c r="R598" s="32" t="str">
        <f>IF(Dados!A599="","",Dados!A599)</f>
        <v/>
      </c>
    </row>
    <row r="599" spans="18:18" x14ac:dyDescent="0.3">
      <c r="R599" s="32" t="str">
        <f>IF(Dados!A600="","",Dados!A600)</f>
        <v/>
      </c>
    </row>
    <row r="600" spans="18:18" x14ac:dyDescent="0.3">
      <c r="R600" s="32" t="str">
        <f>IF(Dados!A601="","",Dados!A601)</f>
        <v/>
      </c>
    </row>
    <row r="601" spans="18:18" x14ac:dyDescent="0.3">
      <c r="R601" s="32" t="str">
        <f>IF(Dados!A602="","",Dados!A602)</f>
        <v/>
      </c>
    </row>
    <row r="602" spans="18:18" x14ac:dyDescent="0.3">
      <c r="R602" s="32" t="str">
        <f>IF(Dados!A603="","",Dados!A603)</f>
        <v/>
      </c>
    </row>
    <row r="603" spans="18:18" x14ac:dyDescent="0.3">
      <c r="R603" s="32" t="str">
        <f>IF(Dados!A604="","",Dados!A604)</f>
        <v/>
      </c>
    </row>
    <row r="604" spans="18:18" x14ac:dyDescent="0.3">
      <c r="R604" s="32" t="str">
        <f>IF(Dados!A605="","",Dados!A605)</f>
        <v/>
      </c>
    </row>
    <row r="605" spans="18:18" x14ac:dyDescent="0.3">
      <c r="R605" s="32" t="str">
        <f>IF(Dados!A606="","",Dados!A606)</f>
        <v/>
      </c>
    </row>
    <row r="606" spans="18:18" x14ac:dyDescent="0.3">
      <c r="R606" s="32" t="str">
        <f>IF(Dados!A607="","",Dados!A607)</f>
        <v/>
      </c>
    </row>
    <row r="607" spans="18:18" x14ac:dyDescent="0.3">
      <c r="R607" s="32" t="str">
        <f>IF(Dados!A608="","",Dados!A608)</f>
        <v/>
      </c>
    </row>
    <row r="608" spans="18:18" x14ac:dyDescent="0.3">
      <c r="R608" s="32" t="str">
        <f>IF(Dados!A609="","",Dados!A609)</f>
        <v/>
      </c>
    </row>
    <row r="609" spans="18:18" x14ac:dyDescent="0.3">
      <c r="R609" s="32" t="str">
        <f>IF(Dados!A610="","",Dados!A610)</f>
        <v/>
      </c>
    </row>
    <row r="610" spans="18:18" x14ac:dyDescent="0.3">
      <c r="R610" s="32" t="str">
        <f>IF(Dados!A611="","",Dados!A611)</f>
        <v/>
      </c>
    </row>
  </sheetData>
  <pageMargins left="0.511811024" right="0.511811024" top="0.78740157499999996" bottom="0.78740157499999996" header="0.31496062000000002" footer="0.31496062000000002"/>
  <drawing r:id="rId1"/>
</worksheet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</vt:lpstr>
      <vt:lpstr>Gráfico DAP</vt:lpstr>
      <vt:lpstr>Gráfico Alturas</vt:lpstr>
      <vt:lpstr>Gráfico PAP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Kersten</dc:creator>
  <cp:lastModifiedBy>Rodrigo de Andrade Kersten</cp:lastModifiedBy>
  <cp:lastPrinted>2025-09-05T12:22:48Z</cp:lastPrinted>
  <dcterms:created xsi:type="dcterms:W3CDTF">2023-08-16T17:20:47Z</dcterms:created>
  <dcterms:modified xsi:type="dcterms:W3CDTF">2026-02-24T14:26:01Z</dcterms:modified>
</cp:coreProperties>
</file>